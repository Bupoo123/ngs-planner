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20" activeTab="6"/>
  </bookViews>
  <sheets>
    <sheet name="实验排布+精密度 (2)" sheetId="1" r:id="rId1"/>
    <sheet name="芯片表模版" sheetId="2" r:id="rId2"/>
    <sheet name="文库表模版" sheetId="4" r:id="rId3"/>
    <sheet name="PC列表" sheetId="5" r:id="rId4"/>
    <sheet name="NC列表" sheetId="6" r:id="rId5"/>
    <sheet name="规则" sheetId="7" r:id="rId6"/>
    <sheet name="物种列表" sheetId="8" r:id="rId7"/>
    <sheet name="测序仪对应关系" sheetId="9" r:id="rId8"/>
  </sheets>
  <definedNames>
    <definedName name="_xlnm._FilterDatabase" localSheetId="0" hidden="1">'实验排布+精密度 (2)'!$A$1:$AC$609</definedName>
    <definedName name="_xlnm._FilterDatabase" localSheetId="2" hidden="1">文库表模版!$A$1:$W$52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<sst xmlns="http://schemas.openxmlformats.org/spreadsheetml/2006/main" count="7077" uniqueCount="1126">
  <si>
    <t>前期准备日期</t>
  </si>
  <si>
    <t>人员</t>
  </si>
  <si>
    <t>提取日期</t>
  </si>
  <si>
    <t>测浓度日期</t>
  </si>
  <si>
    <t>建库日期</t>
  </si>
  <si>
    <r>
      <rPr>
        <b/>
        <sz val="9"/>
        <rFont val="宋体"/>
        <charset val="134"/>
      </rPr>
      <t>单个文库定量日期</t>
    </r>
    <r>
      <rPr>
        <b/>
        <sz val="9"/>
        <rFont val="Times New Roman"/>
        <charset val="134"/>
      </rPr>
      <t>+pooling</t>
    </r>
  </si>
  <si>
    <t>混合文库定量日期</t>
  </si>
  <si>
    <t>测序日期</t>
  </si>
  <si>
    <t>试验内容</t>
  </si>
  <si>
    <t>备注</t>
  </si>
  <si>
    <t>发补方案</t>
  </si>
  <si>
    <t>连接符</t>
  </si>
  <si>
    <r>
      <rPr>
        <b/>
        <sz val="9"/>
        <rFont val="宋体"/>
        <charset val="134"/>
      </rPr>
      <t>测序仪</t>
    </r>
    <r>
      <rPr>
        <b/>
        <sz val="9"/>
        <rFont val="Times New Roman"/>
        <charset val="0"/>
      </rPr>
      <t>SN</t>
    </r>
  </si>
  <si>
    <r>
      <rPr>
        <b/>
        <sz val="9"/>
        <rFont val="Times New Roman"/>
        <charset val="0"/>
      </rPr>
      <t>Run</t>
    </r>
    <r>
      <rPr>
        <b/>
        <sz val="9"/>
        <rFont val="宋体"/>
        <charset val="134"/>
      </rPr>
      <t>数</t>
    </r>
  </si>
  <si>
    <t>芯片编号</t>
  </si>
  <si>
    <r>
      <rPr>
        <b/>
        <sz val="9"/>
        <rFont val="宋体"/>
        <charset val="134"/>
      </rPr>
      <t>芯片</t>
    </r>
    <r>
      <rPr>
        <b/>
        <sz val="9"/>
        <rFont val="Times New Roman"/>
        <charset val="0"/>
      </rPr>
      <t>SN</t>
    </r>
  </si>
  <si>
    <t>测序仪型号</t>
  </si>
  <si>
    <t>试验结果</t>
  </si>
  <si>
    <r>
      <rPr>
        <b/>
        <sz val="9"/>
        <color theme="1"/>
        <rFont val="宋体"/>
        <charset val="134"/>
      </rPr>
      <t>备注</t>
    </r>
    <r>
      <rPr>
        <b/>
        <sz val="9"/>
        <color theme="1"/>
        <rFont val="Times New Roman"/>
        <charset val="134"/>
      </rPr>
      <t>2</t>
    </r>
  </si>
  <si>
    <r>
      <rPr>
        <sz val="9"/>
        <color theme="1"/>
        <rFont val="Times New Roman"/>
        <charset val="134"/>
      </rPr>
      <t>2025.10.17
08:30~10:30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；</t>
    </r>
  </si>
  <si>
    <t>A</t>
  </si>
  <si>
    <r>
      <rPr>
        <sz val="9"/>
        <color theme="1"/>
        <rFont val="Times New Roman"/>
        <charset val="134"/>
      </rPr>
      <t>2025.10.17
09:30~10:50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</si>
  <si>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2025.10.17
11:00~13:00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</si>
  <si>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2025.10.17
14:00~15:00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9+2=11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</si>
  <si>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2025.10.17
15:30~16:30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9+2=11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</si>
  <si>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2025.10.17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
550DX-4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</si>
  <si>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r>
      <rPr>
        <sz val="9"/>
        <color theme="1"/>
        <rFont val="宋体"/>
        <charset val="134"/>
      </rPr>
      <t>主要原材料研究：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功能性实验：</t>
    </r>
    <r>
      <rPr>
        <sz val="9"/>
        <color theme="1"/>
        <rFont val="Times New Roman"/>
        <charset val="134"/>
      </rPr>
      <t xml:space="preserve">
CN500-1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9*1=9</t>
    </r>
    <r>
      <rPr>
        <sz val="9"/>
        <color theme="1"/>
        <rFont val="宋体"/>
        <charset val="134"/>
      </rPr>
      <t>个样本</t>
    </r>
  </si>
  <si>
    <r>
      <rPr>
        <sz val="9"/>
        <rFont val="宋体"/>
        <charset val="134"/>
      </rPr>
      <t>在原料盘入库之前做实验；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试剂：</t>
    </r>
    <r>
      <rPr>
        <sz val="9"/>
        <rFont val="Times New Roman"/>
        <charset val="134"/>
      </rPr>
      <t>GS0003520250301</t>
    </r>
  </si>
  <si>
    <r>
      <rPr>
        <sz val="9"/>
        <rFont val="宋体"/>
        <charset val="134"/>
      </rPr>
      <t>主要原材料研究：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功能性实验：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个原料盘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次重复提取</t>
    </r>
    <r>
      <rPr>
        <sz val="9"/>
        <rFont val="Times New Roman"/>
        <charset val="134"/>
      </rPr>
      <t xml:space="preserve">=9
</t>
    </r>
    <r>
      <rPr>
        <sz val="9"/>
        <rFont val="宋体"/>
        <charset val="134"/>
      </rPr>
      <t>仪器：</t>
    </r>
    <r>
      <rPr>
        <sz val="9"/>
        <rFont val="Times New Roman"/>
        <charset val="134"/>
      </rPr>
      <t>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 xml:space="preserve">550Dx
3*3*2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9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9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（每种机型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张）</t>
    </r>
    <r>
      <rPr>
        <sz val="9"/>
        <rFont val="Times New Roman"/>
        <charset val="134"/>
      </rPr>
      <t xml:space="preserve">
</t>
    </r>
    <r>
      <rPr>
        <b/>
        <sz val="9"/>
        <rFont val="宋体"/>
        <charset val="134"/>
      </rPr>
      <t>跟其他试验凑</t>
    </r>
  </si>
  <si>
    <t>2025.10.17</t>
  </si>
  <si>
    <t>_</t>
  </si>
  <si>
    <t>TPNB500477</t>
  </si>
  <si>
    <t>0120</t>
  </si>
  <si>
    <t>_AXXXXXXXXX</t>
  </si>
  <si>
    <t>Nextseq CN500-4</t>
  </si>
  <si>
    <t>Nextseq CN500</t>
  </si>
  <si>
    <t>NDX551406_RUO</t>
  </si>
  <si>
    <t>0227</t>
  </si>
  <si>
    <t>Nextseq™ 550DX-4</t>
  </si>
  <si>
    <t>Nextseq™ 550DX</t>
  </si>
  <si>
    <r>
      <rPr>
        <sz val="9"/>
        <rFont val="Times New Roman"/>
        <charset val="134"/>
      </rPr>
      <t>2026.01.13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</si>
  <si>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2026.01.13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</si>
  <si>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2026.01.13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</si>
  <si>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2026.01.13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</si>
  <si>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rFont val="Times New Roman"/>
        <charset val="134"/>
      </rPr>
      <t>2026.01.13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</si>
  <si>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2026.01.13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</si>
  <si>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r>
      <rPr>
        <sz val="9"/>
        <rFont val="宋体"/>
        <charset val="134"/>
      </rPr>
      <t>污染的控制措施：</t>
    </r>
    <r>
      <rPr>
        <sz val="9"/>
        <rFont val="Times New Roman"/>
        <charset val="134"/>
      </rPr>
      <t xml:space="preserve">
CN500-1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550DX-4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>550Dx
30*1=30</t>
    </r>
    <r>
      <rPr>
        <sz val="9"/>
        <rFont val="宋体"/>
        <charset val="134"/>
      </rPr>
      <t>个样本</t>
    </r>
  </si>
  <si>
    <r>
      <rPr>
        <sz val="9"/>
        <rFont val="Times New Roman"/>
        <charset val="134"/>
      </rPr>
      <t>01</t>
    </r>
    <r>
      <rPr>
        <sz val="9"/>
        <rFont val="宋体"/>
        <charset val="134"/>
      </rPr>
      <t>批试剂</t>
    </r>
  </si>
  <si>
    <r>
      <t>污染的控制措施：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5</t>
    </r>
    <r>
      <rPr>
        <sz val="9"/>
        <rFont val="宋体"/>
        <charset val="134"/>
      </rPr>
      <t>例强阳性样本</t>
    </r>
    <r>
      <rPr>
        <sz val="9"/>
        <rFont val="Times New Roman"/>
        <charset val="134"/>
      </rPr>
      <t>+5</t>
    </r>
    <r>
      <rPr>
        <sz val="9"/>
        <rFont val="宋体"/>
        <charset val="134"/>
      </rPr>
      <t>例阴性样本）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次提取重复</t>
    </r>
    <r>
      <rPr>
        <sz val="9"/>
        <rFont val="Times New Roman"/>
        <charset val="134"/>
      </rPr>
      <t>=30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需要连续做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天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试剂：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批。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仪器：</t>
    </r>
    <r>
      <rPr>
        <sz val="9"/>
        <rFont val="Times New Roman"/>
        <charset val="134"/>
      </rPr>
      <t>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 xml:space="preserve">550Dx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30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30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张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天</t>
    </r>
    <r>
      <rPr>
        <sz val="9"/>
        <rFont val="Times New Roman"/>
        <charset val="134"/>
      </rPr>
      <t>=6</t>
    </r>
    <r>
      <rPr>
        <sz val="9"/>
        <rFont val="宋体"/>
        <charset val="134"/>
      </rPr>
      <t>张（每种机型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张）</t>
    </r>
  </si>
  <si>
    <t>2026.01.13</t>
  </si>
  <si>
    <t>0143</t>
  </si>
  <si>
    <t>0278</t>
  </si>
  <si>
    <r>
      <rPr>
        <sz val="9"/>
        <rFont val="Times New Roman"/>
        <charset val="134"/>
      </rPr>
      <t>2026.01.14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</si>
  <si>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t>B</t>
  </si>
  <si>
    <r>
      <rPr>
        <sz val="9"/>
        <rFont val="Times New Roman"/>
        <charset val="134"/>
      </rPr>
      <t>2026.01.14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</si>
  <si>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2026.01.14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</si>
  <si>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2026.01.14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</si>
  <si>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rFont val="Times New Roman"/>
        <charset val="134"/>
      </rPr>
      <t>2026.01.14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</si>
  <si>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2026.01.14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</si>
  <si>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t>2026.01.14</t>
  </si>
  <si>
    <t>0144</t>
  </si>
  <si>
    <t>0280</t>
  </si>
  <si>
    <r>
      <rPr>
        <sz val="9"/>
        <rFont val="Times New Roman"/>
        <charset val="134"/>
      </rPr>
      <t>2026.01.15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</si>
  <si>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t>C</t>
  </si>
  <si>
    <r>
      <rPr>
        <sz val="9"/>
        <rFont val="Times New Roman"/>
        <charset val="134"/>
      </rPr>
      <t>2026.01.5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</si>
  <si>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2026.01.15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</si>
  <si>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2026.01.15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</si>
  <si>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rFont val="Times New Roman"/>
        <charset val="134"/>
      </rPr>
      <t>2026.01.15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</si>
  <si>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2026.01.15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</si>
  <si>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t>2026.01.15</t>
  </si>
  <si>
    <t>0145</t>
  </si>
  <si>
    <t>0282</t>
  </si>
  <si>
    <r>
      <rPr>
        <sz val="9"/>
        <color theme="1"/>
        <rFont val="Times New Roman"/>
        <charset val="134"/>
      </rPr>
      <t>2026.01.16
4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720</t>
    </r>
    <r>
      <rPr>
        <sz val="9"/>
        <color theme="1"/>
        <rFont val="宋体"/>
        <charset val="134"/>
      </rPr>
      <t>个样。（有冗余）</t>
    </r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</si>
  <si>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</si>
  <si>
    <r>
      <rPr>
        <sz val="9"/>
        <color theme="1"/>
        <rFont val="Times New Roman"/>
        <charset val="134"/>
      </rPr>
      <t>2026.01.17
2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08:30~17:30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Qubit-2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08:30~17:30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1000</t>
    </r>
    <r>
      <rPr>
        <sz val="9"/>
        <color theme="1"/>
        <rFont val="宋体"/>
        <charset val="134"/>
      </rPr>
      <t>个样。（有冗余）</t>
    </r>
  </si>
  <si>
    <r>
      <rPr>
        <sz val="9"/>
        <color theme="1"/>
        <rFont val="Times New Roman"/>
        <charset val="134"/>
      </rPr>
      <t>2026.01.19
4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2000</t>
    </r>
    <r>
      <rPr>
        <sz val="9"/>
        <color theme="1"/>
        <rFont val="宋体"/>
        <charset val="134"/>
      </rPr>
      <t>个样。（有冗余）</t>
    </r>
  </si>
  <si>
    <r>
      <rPr>
        <b/>
        <sz val="9"/>
        <color theme="1"/>
        <rFont val="Times New Roman"/>
        <charset val="134"/>
      </rPr>
      <t>2026.01.20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Times New Roman"/>
        <charset val="134"/>
      </rPr>
      <t>AM 08:00~09:00</t>
    </r>
    <r>
      <rPr>
        <sz val="9"/>
        <color theme="1"/>
        <rFont val="Times New Roman"/>
        <charset val="134"/>
      </rPr>
      <t xml:space="preserve">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Times New Roman"/>
        <charset val="134"/>
      </rPr>
      <t>PM 16:00~17:00</t>
    </r>
    <r>
      <rPr>
        <sz val="9"/>
        <color theme="1"/>
        <rFont val="Times New Roman"/>
        <charset val="134"/>
      </rPr>
      <t xml:space="preserve">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累计：</t>
    </r>
    <r>
      <rPr>
        <sz val="9"/>
        <color theme="1"/>
        <rFont val="Times New Roman"/>
        <charset val="134"/>
      </rPr>
      <t>168+12=180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</si>
  <si>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</si>
  <si>
    <r>
      <rPr>
        <sz val="9"/>
        <color theme="1"/>
        <rFont val="Times New Roman"/>
        <charset val="134"/>
      </rPr>
      <t>2026.01.20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累计：</t>
    </r>
    <r>
      <rPr>
        <sz val="9"/>
        <color theme="1"/>
        <rFont val="Times New Roman"/>
        <charset val="134"/>
      </rPr>
      <t>168+12=180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</si>
  <si>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2026.01.20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</si>
  <si>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</si>
  <si>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批试剂</t>
    </r>
  </si>
  <si>
    <r>
      <rPr>
        <b/>
        <sz val="9"/>
        <color theme="1"/>
        <rFont val="宋体"/>
        <charset val="134"/>
      </rPr>
      <t>准确度：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三批试剂盒检测型式盘（</t>
    </r>
    <r>
      <rPr>
        <sz val="9"/>
        <color theme="1"/>
        <rFont val="Times New Roman"/>
        <charset val="134"/>
      </rPr>
      <t>43</t>
    </r>
    <r>
      <rPr>
        <sz val="9"/>
        <color theme="1"/>
        <rFont val="宋体"/>
        <charset val="134"/>
      </rPr>
      <t>个文库）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临床样本（中阳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弱阳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例，外加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例阴性样本）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550Dx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618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文库数量：</t>
    </r>
    <r>
      <rPr>
        <sz val="9"/>
        <color theme="1"/>
        <rFont val="Times New Roman"/>
        <charset val="134"/>
      </rPr>
      <t>1854</t>
    </r>
    <r>
      <rPr>
        <sz val="9"/>
        <color theme="1"/>
        <rFont val="宋体"/>
        <charset val="134"/>
      </rPr>
      <t>例样本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每种机型芯片数量：</t>
    </r>
    <r>
      <rPr>
        <sz val="9"/>
        <color theme="1"/>
        <rFont val="Times New Roman"/>
        <charset val="134"/>
      </rPr>
      <t>1854/28=66.3</t>
    </r>
  </si>
  <si>
    <t>2026.01.20</t>
  </si>
  <si>
    <t>0153</t>
  </si>
  <si>
    <t>TPNB500597</t>
  </si>
  <si>
    <t>0072</t>
  </si>
  <si>
    <t>Nextseq CN500-2</t>
  </si>
  <si>
    <t>TPNB500641</t>
  </si>
  <si>
    <t>0085</t>
  </si>
  <si>
    <t>Nextseq CN500-3</t>
  </si>
  <si>
    <t>0291</t>
  </si>
  <si>
    <t>NDX550598_RUO</t>
  </si>
  <si>
    <t>0067</t>
  </si>
  <si>
    <t>Nextseq™ 550DX-2</t>
  </si>
  <si>
    <t>NDX550778_RUO</t>
  </si>
  <si>
    <t>0087</t>
  </si>
  <si>
    <t>Nextseq™ 550DX-3</t>
  </si>
  <si>
    <t>TPNB500657</t>
  </si>
  <si>
    <t>0076</t>
  </si>
  <si>
    <t>Nextseq CN500-5</t>
  </si>
  <si>
    <t>TPNB500530</t>
  </si>
  <si>
    <t>0096</t>
  </si>
  <si>
    <t>Nextseq CN500-6</t>
  </si>
  <si>
    <t>TPNB500560</t>
  </si>
  <si>
    <t>0095</t>
  </si>
  <si>
    <t>Nextseq CN500-7</t>
  </si>
  <si>
    <t>0292</t>
  </si>
  <si>
    <t>0068</t>
  </si>
  <si>
    <t>0088</t>
  </si>
  <si>
    <t>2026.01.21
AM 08:00~09:00
PM 16:00~17:00</t>
  </si>
  <si>
    <t>2026.01.21
AM 09:00~10:00
PM 17:00~18:00</t>
  </si>
  <si>
    <r>
      <rPr>
        <sz val="9"/>
        <color theme="1"/>
        <rFont val="Times New Roman"/>
        <charset val="134"/>
      </rPr>
      <t>2026.01.21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</si>
  <si>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336</t>
    </r>
  </si>
  <si>
    <t>2026.01.21</t>
  </si>
  <si>
    <t>0155</t>
  </si>
  <si>
    <t>0074</t>
  </si>
  <si>
    <t>0293</t>
  </si>
  <si>
    <t>0069</t>
  </si>
  <si>
    <t>0089</t>
  </si>
  <si>
    <t>0078</t>
  </si>
  <si>
    <t>0098</t>
  </si>
  <si>
    <t>0097</t>
  </si>
  <si>
    <t>0294</t>
  </si>
  <si>
    <t>0070</t>
  </si>
  <si>
    <t>0090</t>
  </si>
  <si>
    <t>2026.01.22
AM 08:00~09:00
PM 16:00~17:00</t>
  </si>
  <si>
    <t>2026.01.22
AM 09:00~10:00
PM 17:00~18:00</t>
  </si>
  <si>
    <r>
      <rPr>
        <sz val="9"/>
        <color theme="1"/>
        <rFont val="Times New Roman"/>
        <charset val="134"/>
      </rPr>
      <t>2026.01.22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</si>
  <si>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504</t>
    </r>
  </si>
  <si>
    <t>2026.01.22</t>
  </si>
  <si>
    <t>0157</t>
  </si>
  <si>
    <t>0295</t>
  </si>
  <si>
    <t>0071</t>
  </si>
  <si>
    <t>0091</t>
  </si>
  <si>
    <t>0080</t>
  </si>
  <si>
    <t>0100</t>
  </si>
  <si>
    <t>0099</t>
  </si>
  <si>
    <t>0296</t>
  </si>
  <si>
    <t>0092</t>
  </si>
  <si>
    <t>2026.01.23
AM 08:00~09:00
PM 16:00~17:00</t>
  </si>
  <si>
    <t>2026.01.23
AM 09:00~10:00
PM 17:00~18:00</t>
  </si>
  <si>
    <r>
      <rPr>
        <sz val="9"/>
        <color theme="1"/>
        <rFont val="Times New Roman"/>
        <charset val="134"/>
      </rPr>
      <t>2026.01.23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</si>
  <si>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618+52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批试剂）</t>
    </r>
  </si>
  <si>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+02</t>
    </r>
    <r>
      <rPr>
        <sz val="9"/>
        <color theme="1"/>
        <rFont val="宋体"/>
        <charset val="134"/>
      </rPr>
      <t>批试剂</t>
    </r>
  </si>
  <si>
    <t>2026.01.23</t>
  </si>
  <si>
    <t>0159</t>
  </si>
  <si>
    <t>0297</t>
  </si>
  <si>
    <t>0073</t>
  </si>
  <si>
    <t>0093</t>
  </si>
  <si>
    <t>0082</t>
  </si>
  <si>
    <t>0102</t>
  </si>
  <si>
    <t>0101</t>
  </si>
  <si>
    <t>0298</t>
  </si>
  <si>
    <t>0094</t>
  </si>
  <si>
    <t>2026.01.24
AM 08:00~09:00
PM 16:00~17:00</t>
  </si>
  <si>
    <t>2026.01.24
AM 09:00~10:00
PM 17:00~18:00</t>
  </si>
  <si>
    <r>
      <rPr>
        <sz val="9"/>
        <color theme="1"/>
        <rFont val="Times New Roman"/>
        <charset val="134"/>
      </rPr>
      <t>2026.01.24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</si>
  <si>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220</t>
    </r>
  </si>
  <si>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</t>
    </r>
  </si>
  <si>
    <t>2026.01.24</t>
  </si>
  <si>
    <t>0161</t>
  </si>
  <si>
    <t>0299</t>
  </si>
  <si>
    <t>0075</t>
  </si>
  <si>
    <t>0084</t>
  </si>
  <si>
    <t>0104</t>
  </si>
  <si>
    <t>0103</t>
  </si>
  <si>
    <t>0300</t>
  </si>
  <si>
    <t>2026.01.25
AM 08:00~09:00
PM 16:00~17:00</t>
  </si>
  <si>
    <t>2026.01.25
AM 09:00~10:00
PM 17:00~18:00</t>
  </si>
  <si>
    <r>
      <rPr>
        <sz val="9"/>
        <color theme="1"/>
        <rFont val="Times New Roman"/>
        <charset val="134"/>
      </rPr>
      <t>2026.01.25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</si>
  <si>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388</t>
    </r>
  </si>
  <si>
    <t>2026.01.25</t>
  </si>
  <si>
    <t>0163</t>
  </si>
  <si>
    <t>0301</t>
  </si>
  <si>
    <t>0077</t>
  </si>
  <si>
    <t>0086</t>
  </si>
  <si>
    <t>0106</t>
  </si>
  <si>
    <t>0105</t>
  </si>
  <si>
    <t>0302</t>
  </si>
  <si>
    <t>2026.01.26
AM 08:00~09:00
PM 16:00~17:00</t>
  </si>
  <si>
    <t>2026.01.26
AM 09:00~10:00
PM 17:00~18:00</t>
  </si>
  <si>
    <r>
      <rPr>
        <sz val="9"/>
        <color theme="1"/>
        <rFont val="Times New Roman"/>
        <charset val="134"/>
      </rPr>
      <t>2026.01.26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</si>
  <si>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556</t>
    </r>
  </si>
  <si>
    <t>2026.01.26</t>
  </si>
  <si>
    <t>0165</t>
  </si>
  <si>
    <t>0303</t>
  </si>
  <si>
    <t>0079</t>
  </si>
  <si>
    <t>0108</t>
  </si>
  <si>
    <t>0107</t>
  </si>
  <si>
    <t>0304</t>
  </si>
  <si>
    <t>2026.01.27
AM 08:00~09:00
PM 16:00~17:00</t>
  </si>
  <si>
    <t>2026.01.27
AM 09:00~10:00
PM 17:00~18:00</t>
  </si>
  <si>
    <r>
      <rPr>
        <sz val="9"/>
        <color theme="1"/>
        <rFont val="Times New Roman"/>
        <charset val="134"/>
      </rPr>
      <t>2026.01.27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</si>
  <si>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618+104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批试剂）</t>
    </r>
  </si>
  <si>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+03</t>
    </r>
    <r>
      <rPr>
        <sz val="9"/>
        <color theme="1"/>
        <rFont val="宋体"/>
        <charset val="134"/>
      </rPr>
      <t>批试剂</t>
    </r>
  </si>
  <si>
    <t>2026.01.27</t>
  </si>
  <si>
    <t>0167</t>
  </si>
  <si>
    <t>0305</t>
  </si>
  <si>
    <t>0081</t>
  </si>
  <si>
    <t>0110</t>
  </si>
  <si>
    <t>0109</t>
  </si>
  <si>
    <t>0306</t>
  </si>
  <si>
    <t>2026.01.28
AM 08:00~09:00
PM 16:00~17:00</t>
  </si>
  <si>
    <t>2026.01.28
AM 09:00~10:00
PM 17:00~18:00</t>
  </si>
  <si>
    <r>
      <rPr>
        <sz val="9"/>
        <color theme="1"/>
        <rFont val="Times New Roman"/>
        <charset val="134"/>
      </rPr>
      <t>2026.01.28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</si>
  <si>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272</t>
    </r>
  </si>
  <si>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批试剂</t>
    </r>
  </si>
  <si>
    <t>2026.01.28</t>
  </si>
  <si>
    <t>0169</t>
  </si>
  <si>
    <t>0307</t>
  </si>
  <si>
    <t>0083</t>
  </si>
  <si>
    <t>0112</t>
  </si>
  <si>
    <t>0111</t>
  </si>
  <si>
    <t>0308</t>
  </si>
  <si>
    <t>2026.01.29
AM 08:00~09:00
PM 16:00~17:00</t>
  </si>
  <si>
    <t>2026.01.29
AM 09:00~10:00
PM 17:00~18:00</t>
  </si>
  <si>
    <r>
      <rPr>
        <sz val="9"/>
        <color theme="1"/>
        <rFont val="Times New Roman"/>
        <charset val="134"/>
      </rPr>
      <t>2026.01.29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</si>
  <si>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440</t>
    </r>
  </si>
  <si>
    <t>2026.01.29</t>
  </si>
  <si>
    <t>0171</t>
  </si>
  <si>
    <t>0309</t>
  </si>
  <si>
    <t>0114</t>
  </si>
  <si>
    <t>0113</t>
  </si>
  <si>
    <t>0310</t>
  </si>
  <si>
    <t>2026.01.30
AM 08:00~09:00
PM 16:00~17:00</t>
  </si>
  <si>
    <t>2026.01.30
AM 09:00~10:00
PM 17:00~18:00</t>
  </si>
  <si>
    <r>
      <rPr>
        <sz val="9"/>
        <color theme="1"/>
        <rFont val="Times New Roman"/>
        <charset val="134"/>
      </rPr>
      <t>2026.01.30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</si>
  <si>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608</t>
    </r>
  </si>
  <si>
    <t>2026.01.30</t>
  </si>
  <si>
    <t>0173</t>
  </si>
  <si>
    <t>0311</t>
  </si>
  <si>
    <t>0116</t>
  </si>
  <si>
    <t>0115</t>
  </si>
  <si>
    <t>0312</t>
  </si>
  <si>
    <t>2026.01.31
AM 08:00~09:00</t>
  </si>
  <si>
    <t>2026.01.31
AM 09:00~10:00</t>
  </si>
  <si>
    <r>
      <rPr>
        <sz val="9"/>
        <color theme="1"/>
        <rFont val="Times New Roman"/>
        <charset val="134"/>
      </rPr>
      <t>2026.01.31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</si>
  <si>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10*1=10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</t>
    </r>
    <r>
      <rPr>
        <sz val="9"/>
        <color theme="1"/>
        <rFont val="宋体"/>
        <charset val="134"/>
      </rPr>
      <t>（多了）</t>
    </r>
  </si>
  <si>
    <t>2026.01.31</t>
  </si>
  <si>
    <t>0175</t>
  </si>
  <si>
    <t>0313</t>
  </si>
  <si>
    <r>
      <rPr>
        <sz val="9"/>
        <color theme="1"/>
        <rFont val="Times New Roman"/>
        <charset val="134"/>
      </rPr>
      <t>E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F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G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H</t>
    </r>
  </si>
  <si>
    <t>2026.02.01
AM 08:00~09:00
PM 16:00~17:00</t>
  </si>
  <si>
    <t>2026.02.01
AM 09:00~10:00
PM 17:00~18:00</t>
  </si>
  <si>
    <r>
      <rPr>
        <sz val="9"/>
        <color theme="1"/>
        <rFont val="Times New Roman"/>
        <charset val="134"/>
      </rPr>
      <t>2026.02.01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</si>
  <si>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  <r>
      <rPr>
        <sz val="9"/>
        <color theme="1"/>
        <rFont val="宋体"/>
        <charset val="134"/>
      </rPr>
      <t>个样本。</t>
    </r>
  </si>
  <si>
    <r>
      <rPr>
        <b/>
        <sz val="9"/>
        <color theme="1"/>
        <rFont val="宋体"/>
        <charset val="134"/>
      </rPr>
      <t>检出限建立：</t>
    </r>
    <r>
      <rPr>
        <b/>
        <sz val="9"/>
        <color theme="1"/>
        <rFont val="Times New Roman"/>
        <charset val="134"/>
      </rPr>
      <t xml:space="preserve"> 
</t>
    </r>
    <r>
      <rPr>
        <b/>
        <sz val="9"/>
        <color theme="1"/>
        <rFont val="宋体"/>
        <charset val="134"/>
      </rPr>
      <t>样本：</t>
    </r>
    <r>
      <rPr>
        <sz val="9"/>
        <color theme="1"/>
        <rFont val="宋体"/>
        <charset val="134"/>
      </rPr>
      <t>不同来源至少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个样本。</t>
    </r>
    <r>
      <rPr>
        <sz val="9"/>
        <color theme="1"/>
        <rFont val="Times New Roman"/>
        <charset val="134"/>
      </rPr>
      <t>46</t>
    </r>
    <r>
      <rPr>
        <sz val="9"/>
        <color theme="1"/>
        <rFont val="宋体"/>
        <charset val="134"/>
      </rPr>
      <t>种代表。不加分型。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混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，从提取开始重复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梯度：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个梯度（</t>
    </r>
    <r>
      <rPr>
        <sz val="9"/>
        <color theme="1"/>
        <rFont val="Times New Roman"/>
        <charset val="134"/>
      </rPr>
      <t>1*10^2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1*10^3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体积：大于</t>
    </r>
    <r>
      <rPr>
        <sz val="9"/>
        <color theme="1"/>
        <rFont val="Times New Roman"/>
        <charset val="134"/>
      </rPr>
      <t>5mL/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240*3=720</t>
    </r>
    <r>
      <rPr>
        <sz val="9"/>
        <color theme="1"/>
        <rFont val="宋体"/>
        <charset val="134"/>
      </rPr>
      <t>支</t>
    </r>
    <r>
      <rPr>
        <sz val="9"/>
        <color theme="1"/>
        <rFont val="Times New Roman"/>
        <charset val="134"/>
      </rPr>
      <t xml:space="preserve">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 xml:space="preserve">=240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720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720/28=25.8</t>
    </r>
  </si>
  <si>
    <t>2026.02.01</t>
  </si>
  <si>
    <t>0177</t>
  </si>
  <si>
    <t>0178</t>
  </si>
  <si>
    <r>
      <rPr>
        <sz val="9"/>
        <color theme="1"/>
        <rFont val="Times New Roman"/>
        <charset val="134"/>
      </rPr>
      <t>2026.01.26
13:00~14:00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</si>
  <si>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2026.01.26
14:00~14:30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</si>
  <si>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2026.01.26
15:00~17:00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</si>
  <si>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2026.02.01
AM 08:00~09:00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16:00~17:00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</si>
  <si>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2026.02.01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</si>
  <si>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</si>
  <si>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芯片精密度：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上午：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+50-FR01*10+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CN500-6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+75-FR01*10+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CN500-7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+50-FR01*10
550DX-4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+50-FR01*10+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550Dx-2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+75-FR01*10+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550Dx-3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 xml:space="preserve">+50-FR01*10
</t>
    </r>
    <r>
      <rPr>
        <sz val="9"/>
        <color theme="1"/>
        <rFont val="宋体"/>
        <charset val="134"/>
      </rPr>
      <t>下午：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CN500-6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FR01*10
CN500-7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550DX-4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550Dx-2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FR01*10
550Dx-3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</t>
    </r>
  </si>
  <si>
    <r>
      <rPr>
        <b/>
        <sz val="9"/>
        <color theme="1"/>
        <rFont val="宋体"/>
        <charset val="134"/>
      </rPr>
      <t>芯片精密度：</t>
    </r>
    <r>
      <rPr>
        <sz val="9"/>
        <color theme="1"/>
        <rFont val="Times New Roman"/>
        <charset val="134"/>
      </rPr>
      <t xml:space="preserve">
MD004</t>
    </r>
    <r>
      <rPr>
        <sz val="9"/>
        <color theme="1"/>
        <rFont val="宋体"/>
        <charset val="134"/>
      </rPr>
      <t>所有规格芯片均使用精密度参考品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和一例临床阳性样本（各大类混成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个），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次重复，计算</t>
    </r>
    <r>
      <rPr>
        <sz val="9"/>
        <color theme="1"/>
        <rFont val="Times New Roman"/>
        <charset val="134"/>
      </rPr>
      <t>rpm</t>
    </r>
    <r>
      <rPr>
        <sz val="9"/>
        <color theme="1"/>
        <rFont val="宋体"/>
        <charset val="134"/>
      </rPr>
      <t>的变异系数</t>
    </r>
    <r>
      <rPr>
        <sz val="9"/>
        <color theme="1"/>
        <rFont val="Times New Roman"/>
        <charset val="134"/>
      </rPr>
      <t>CV</t>
    </r>
    <r>
      <rPr>
        <sz val="9"/>
        <color theme="1"/>
        <rFont val="宋体"/>
        <charset val="134"/>
      </rPr>
      <t>值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</t>
    </r>
    <r>
      <rPr>
        <sz val="9"/>
        <color theme="1"/>
        <rFont val="Times New Roman"/>
        <charset val="134"/>
      </rPr>
      <t>CV&lt;15%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CN500
MD004:</t>
    </r>
    <r>
      <rPr>
        <sz val="9"/>
        <color theme="1"/>
        <rFont val="宋体"/>
        <charset val="134"/>
      </rPr>
      <t>高通</t>
    </r>
    <r>
      <rPr>
        <sz val="9"/>
        <color theme="1"/>
        <rFont val="Times New Roman"/>
        <charset val="134"/>
      </rPr>
      <t>+50</t>
    </r>
    <r>
      <rPr>
        <sz val="9"/>
        <color theme="1"/>
        <rFont val="宋体"/>
        <charset val="134"/>
      </rPr>
      <t>；高通</t>
    </r>
    <r>
      <rPr>
        <sz val="9"/>
        <color theme="1"/>
        <rFont val="Times New Roman"/>
        <charset val="134"/>
      </rPr>
      <t>+75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+50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+75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+150</t>
    </r>
    <r>
      <rPr>
        <sz val="9"/>
        <color theme="1"/>
        <rFont val="宋体"/>
        <charset val="134"/>
      </rPr>
      <t>。共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种类型。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和一例临床阳性样本，各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和一例临床阳性样本，各</t>
    </r>
    <r>
      <rPr>
        <sz val="9"/>
        <color theme="1"/>
        <rFont val="Times New Roman"/>
        <charset val="134"/>
      </rPr>
      <t>50</t>
    </r>
    <r>
      <rPr>
        <sz val="9"/>
        <color theme="1"/>
        <rFont val="宋体"/>
        <charset val="134"/>
      </rPr>
      <t>个。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8+8=16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550Dx+5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MD004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CN500+5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MD004</t>
    </r>
    <r>
      <rPr>
        <sz val="9"/>
        <color theme="1"/>
        <rFont val="宋体"/>
        <charset val="134"/>
      </rPr>
      <t>）（中通的要分两次上机）。</t>
    </r>
  </si>
  <si>
    <t>0118</t>
  </si>
  <si>
    <t>0117</t>
  </si>
  <si>
    <t>0314</t>
  </si>
  <si>
    <t>0119</t>
  </si>
  <si>
    <t>0315</t>
  </si>
  <si>
    <r>
      <rPr>
        <sz val="9"/>
        <color theme="1"/>
        <rFont val="Times New Roman"/>
        <charset val="134"/>
      </rPr>
      <t>2026.02.02
AM 08:00~09:00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16:00~17:00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</si>
  <si>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2026.02.02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</si>
  <si>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
PM 19:00,RUN2*2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
PM 19:00,RUN2*2</t>
    </r>
  </si>
  <si>
    <r>
      <rPr>
        <sz val="9"/>
        <color theme="1"/>
        <rFont val="宋体"/>
        <charset val="134"/>
      </rPr>
      <t>芯片精密度：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上午：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+150-FR01*10
CN500-6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550DX-4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+150-FR01*10
550Dx-2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</t>
    </r>
  </si>
  <si>
    <t>2026.02.02</t>
  </si>
  <si>
    <t>0316</t>
  </si>
  <si>
    <t>2026.02.02
AM 08:00~09:00
PM 16:00~17:00</t>
  </si>
  <si>
    <t>2026.02.02
AM 09:00~10:00
PM 17:00~18:00</t>
  </si>
  <si>
    <r>
      <rPr>
        <sz val="9"/>
        <color theme="1"/>
        <rFont val="Times New Roman"/>
        <charset val="134"/>
      </rPr>
      <t>2026.02.02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</si>
  <si>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1+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240+94</t>
    </r>
    <r>
      <rPr>
        <sz val="9"/>
        <color theme="1"/>
        <rFont val="宋体"/>
        <charset val="134"/>
      </rPr>
      <t>个样本。</t>
    </r>
  </si>
  <si>
    <r>
      <rPr>
        <b/>
        <sz val="9"/>
        <color theme="1"/>
        <rFont val="宋体"/>
        <charset val="134"/>
      </rPr>
      <t>检出限建立：</t>
    </r>
    <r>
      <rPr>
        <b/>
        <sz val="9"/>
        <color theme="1"/>
        <rFont val="Times New Roman"/>
        <charset val="134"/>
      </rPr>
      <t xml:space="preserve"> 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样本：不同来源至少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个样本。</t>
    </r>
    <r>
      <rPr>
        <sz val="9"/>
        <color theme="1"/>
        <rFont val="Times New Roman"/>
        <charset val="134"/>
      </rPr>
      <t>46</t>
    </r>
    <r>
      <rPr>
        <sz val="9"/>
        <color theme="1"/>
        <rFont val="宋体"/>
        <charset val="134"/>
      </rPr>
      <t>种代表。不加分型。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混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，从提取开始重复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梯度：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个梯度（</t>
    </r>
    <r>
      <rPr>
        <sz val="9"/>
        <color theme="1"/>
        <rFont val="Times New Roman"/>
        <charset val="134"/>
      </rPr>
      <t>1*10^2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1*10^3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体积：大于</t>
    </r>
    <r>
      <rPr>
        <sz val="9"/>
        <color theme="1"/>
        <rFont val="Times New Roman"/>
        <charset val="134"/>
      </rPr>
      <t>5mL/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240*3=720</t>
    </r>
    <r>
      <rPr>
        <sz val="9"/>
        <color theme="1"/>
        <rFont val="宋体"/>
        <charset val="134"/>
      </rPr>
      <t>支</t>
    </r>
    <r>
      <rPr>
        <sz val="9"/>
        <color theme="1"/>
        <rFont val="Times New Roman"/>
        <charset val="134"/>
      </rPr>
      <t xml:space="preserve">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 xml:space="preserve">=240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720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720/28=25.8</t>
    </r>
  </si>
  <si>
    <t>0179</t>
  </si>
  <si>
    <t>0180</t>
  </si>
  <si>
    <t>2026.02.03
AM 08:00~09:00
PM 16:00~17:00</t>
  </si>
  <si>
    <t>2026.02.03
AM 09:00~10:00
PM 17:00~18:00</t>
  </si>
  <si>
    <r>
      <rPr>
        <sz val="9"/>
        <color theme="1"/>
        <rFont val="Times New Roman"/>
        <charset val="134"/>
      </rPr>
      <t>2026.02.03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</si>
  <si>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2+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240+20</t>
    </r>
    <r>
      <rPr>
        <sz val="9"/>
        <color theme="1"/>
        <rFont val="宋体"/>
        <charset val="134"/>
      </rPr>
      <t>个样本。</t>
    </r>
  </si>
  <si>
    <t>2026.02.03</t>
  </si>
  <si>
    <t>0181</t>
  </si>
  <si>
    <t>0182</t>
  </si>
  <si>
    <t>2026.02.04
AM 08:00~09:00
PM 16:00~17:00</t>
  </si>
  <si>
    <t>2026.02.04
AM 09:00~10:00
PM 17:00~18:00</t>
  </si>
  <si>
    <r>
      <rPr>
        <sz val="9"/>
        <color theme="1"/>
        <rFont val="Times New Roman"/>
        <charset val="134"/>
      </rPr>
      <t>2026.02.04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</si>
  <si>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188</t>
    </r>
    <r>
      <rPr>
        <sz val="9"/>
        <color theme="1"/>
        <rFont val="宋体"/>
        <charset val="134"/>
      </rPr>
      <t>个样本。</t>
    </r>
  </si>
  <si>
    <t>2026.02.04</t>
  </si>
  <si>
    <t>0183</t>
  </si>
  <si>
    <t>0184</t>
  </si>
  <si>
    <t>2026.02.05
AM 08:00~09:00</t>
  </si>
  <si>
    <t>2026.02.05
AM 09:00~10:00</t>
  </si>
  <si>
    <r>
      <rPr>
        <sz val="9"/>
        <color theme="1"/>
        <rFont val="Times New Roman"/>
        <charset val="134"/>
      </rPr>
      <t>2026.02.05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</si>
  <si>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26*2=56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</t>
    </r>
    <r>
      <rPr>
        <sz val="9"/>
        <color theme="1"/>
        <rFont val="宋体"/>
        <charset val="134"/>
      </rPr>
      <t>个样本。</t>
    </r>
  </si>
  <si>
    <t>2026.02.05</t>
  </si>
  <si>
    <t>0185</t>
  </si>
  <si>
    <t>2026.02.06
AM 08:00~09:00
PM 16:00~17:00</t>
  </si>
  <si>
    <t>2026.02.06
AM 09:00~10:00
PM 17:00~18:00</t>
  </si>
  <si>
    <r>
      <rPr>
        <sz val="9"/>
        <color theme="1"/>
        <rFont val="Times New Roman"/>
        <charset val="134"/>
      </rPr>
      <t>2026.02.06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</si>
  <si>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阳性判断值差异研究：只用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  <r>
      <rPr>
        <sz val="9"/>
        <color theme="1"/>
        <rFont val="宋体"/>
        <charset val="134"/>
      </rPr>
      <t>个样本。</t>
    </r>
  </si>
  <si>
    <r>
      <rPr>
        <b/>
        <sz val="9"/>
        <rFont val="宋体"/>
        <charset val="134"/>
      </rPr>
      <t>阳性判断值差异研究：</t>
    </r>
    <r>
      <rPr>
        <sz val="9"/>
        <rFont val="Times New Roman"/>
        <charset val="134"/>
      </rPr>
      <t xml:space="preserve">
1.</t>
    </r>
    <r>
      <rPr>
        <sz val="9"/>
        <rFont val="宋体"/>
        <charset val="134"/>
      </rPr>
      <t>病毒（三种病原）、细菌（五种病原）、真菌（四种病原）共计</t>
    </r>
    <r>
      <rPr>
        <sz val="9"/>
        <rFont val="Times New Roman"/>
        <charset val="134"/>
      </rPr>
      <t>240</t>
    </r>
    <r>
      <rPr>
        <sz val="9"/>
        <rFont val="宋体"/>
        <charset val="134"/>
      </rPr>
      <t>例阳性样本，确认不同病原体阳性判断值差异不显著，再按照大类进行阳性判断值研究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机型：</t>
    </r>
    <r>
      <rPr>
        <sz val="9"/>
        <rFont val="Times New Roman"/>
        <charset val="134"/>
      </rPr>
      <t xml:space="preserve">CN500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240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240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8.6</t>
    </r>
  </si>
  <si>
    <t>2026.02.06</t>
  </si>
  <si>
    <t>0187</t>
  </si>
  <si>
    <t>0188</t>
  </si>
  <si>
    <t>2026.02.07
AM 08:00~09:00</t>
  </si>
  <si>
    <t>2026.02.07
AM 09:00~10:00</t>
  </si>
  <si>
    <r>
      <rPr>
        <sz val="9"/>
        <color theme="1"/>
        <rFont val="Times New Roman"/>
        <charset val="134"/>
      </rPr>
      <t>2026.02.07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</t>
    </r>
  </si>
  <si>
    <r>
      <rPr>
        <sz val="9"/>
        <color theme="1"/>
        <rFont val="宋体"/>
        <charset val="134"/>
      </rPr>
      <t>阳性判断值差异研究：只用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28*3=72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</t>
    </r>
    <r>
      <rPr>
        <sz val="9"/>
        <color theme="1"/>
        <rFont val="宋体"/>
        <charset val="134"/>
      </rPr>
      <t>个样本。</t>
    </r>
  </si>
  <si>
    <t>2026.02.07</t>
  </si>
  <si>
    <t>0189</t>
  </si>
  <si>
    <t>2026.02.08~2026.02.09</t>
  </si>
  <si>
    <t>2026.02.09</t>
  </si>
  <si>
    <t>2026.02.10
AM 08:00~09:00
PM 16:00~17:00</t>
  </si>
  <si>
    <t>2026.02.10
AM 09:00~10:00
PM 17:00~18:00</t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</si>
  <si>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E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G</t>
    </r>
  </si>
  <si>
    <r>
      <rPr>
        <sz val="9"/>
        <color theme="1"/>
        <rFont val="Times New Roman"/>
        <charset val="134"/>
      </rPr>
      <t>2026.02.10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</si>
  <si>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29*12=348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348</t>
    </r>
    <r>
      <rPr>
        <sz val="9"/>
        <color theme="1"/>
        <rFont val="宋体"/>
        <charset val="134"/>
      </rPr>
      <t>个样本。</t>
    </r>
  </si>
  <si>
    <r>
      <rPr>
        <b/>
        <sz val="9"/>
        <rFont val="宋体"/>
        <charset val="134"/>
      </rPr>
      <t>阳性判断值建立：</t>
    </r>
    <r>
      <rPr>
        <sz val="9"/>
        <rFont val="Times New Roman"/>
        <charset val="134"/>
      </rPr>
      <t xml:space="preserve">
46</t>
    </r>
    <r>
      <rPr>
        <sz val="9"/>
        <rFont val="宋体"/>
        <charset val="134"/>
      </rPr>
      <t>种代表性病原体，每个做</t>
    </r>
    <r>
      <rPr>
        <sz val="9"/>
        <rFont val="Times New Roman"/>
        <charset val="134"/>
      </rPr>
      <t>30</t>
    </r>
    <r>
      <rPr>
        <sz val="9"/>
        <rFont val="宋体"/>
        <charset val="134"/>
      </rPr>
      <t>例（包括分型在内）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机型：</t>
    </r>
    <r>
      <rPr>
        <sz val="9"/>
        <rFont val="Times New Roman"/>
        <charset val="134"/>
      </rPr>
      <t xml:space="preserve">CN500
46*30=1380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1380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1380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1380/29=47.6</t>
    </r>
  </si>
  <si>
    <t>2026.02.10</t>
  </si>
  <si>
    <t>0195</t>
  </si>
  <si>
    <t>0123</t>
  </si>
  <si>
    <t>0129</t>
  </si>
  <si>
    <t>0196</t>
  </si>
  <si>
    <t>0124</t>
  </si>
  <si>
    <t>0130</t>
  </si>
  <si>
    <t>0146</t>
  </si>
  <si>
    <t>2026.02.11
AM 08:00~09:00
PM 16:00~17:00</t>
  </si>
  <si>
    <t>2026.02.11
AM 09:00~10:00
PM 17:00~18:00</t>
  </si>
  <si>
    <r>
      <rPr>
        <sz val="9"/>
        <color theme="1"/>
        <rFont val="Times New Roman"/>
        <charset val="134"/>
      </rPr>
      <t>2026.02.11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</si>
  <si>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29*12=348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696</t>
    </r>
    <r>
      <rPr>
        <sz val="9"/>
        <color theme="1"/>
        <rFont val="宋体"/>
        <charset val="134"/>
      </rPr>
      <t>个样本。</t>
    </r>
  </si>
  <si>
    <t>2026.02.11</t>
  </si>
  <si>
    <t>0197</t>
  </si>
  <si>
    <t>0125</t>
  </si>
  <si>
    <t>0131</t>
  </si>
  <si>
    <t>0147</t>
  </si>
  <si>
    <t>0198</t>
  </si>
  <si>
    <t>0126</t>
  </si>
  <si>
    <t>0132</t>
  </si>
  <si>
    <t>0148</t>
  </si>
  <si>
    <t>2026.02.12
AM 08:00~09:00
PM 16:00~17:00</t>
  </si>
  <si>
    <t>2026.02.12
AM 09:00~10:00
PM 17:00~18:00</t>
  </si>
  <si>
    <r>
      <rPr>
        <sz val="9"/>
        <color theme="1"/>
        <rFont val="Times New Roman"/>
        <charset val="134"/>
      </rPr>
      <t>2026.02.12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</si>
  <si>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1044</t>
    </r>
    <r>
      <rPr>
        <sz val="9"/>
        <color theme="1"/>
        <rFont val="宋体"/>
        <charset val="134"/>
      </rPr>
      <t>个样本。</t>
    </r>
  </si>
  <si>
    <t>2026.02.12</t>
  </si>
  <si>
    <t>0199</t>
  </si>
  <si>
    <t>0127</t>
  </si>
  <si>
    <t>0133</t>
  </si>
  <si>
    <t>0149</t>
  </si>
  <si>
    <t>0200</t>
  </si>
  <si>
    <t>0128</t>
  </si>
  <si>
    <t>0134</t>
  </si>
  <si>
    <t>0150</t>
  </si>
  <si>
    <t>2026.02.13
AM 08:00~09:00</t>
  </si>
  <si>
    <t>2026.02.13
AM 09:00~10:00</t>
  </si>
  <si>
    <r>
      <rPr>
        <sz val="9"/>
        <color theme="1"/>
        <rFont val="Times New Roman"/>
        <charset val="134"/>
      </rPr>
      <t>2026.02.13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</si>
  <si>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1392</t>
    </r>
    <r>
      <rPr>
        <sz val="9"/>
        <color theme="1"/>
        <rFont val="宋体"/>
        <charset val="134"/>
      </rPr>
      <t>个样本。</t>
    </r>
  </si>
  <si>
    <t>2026.02.13</t>
  </si>
  <si>
    <t>0201</t>
  </si>
  <si>
    <t>0135</t>
  </si>
  <si>
    <t>0151</t>
  </si>
  <si>
    <t>0202</t>
  </si>
  <si>
    <t>0136</t>
  </si>
  <si>
    <t>0152</t>
  </si>
  <si>
    <t>2026.02.24</t>
  </si>
  <si>
    <t>2026.02.25</t>
  </si>
  <si>
    <t>2026.02.26
AM 08:00~09:00
PM 16:00~17:00</t>
  </si>
  <si>
    <t>2026.02.26
AM 09:00~10:00
PM 17:00~18:00</t>
  </si>
  <si>
    <r>
      <rPr>
        <sz val="9"/>
        <color theme="1"/>
        <rFont val="Times New Roman"/>
        <charset val="134"/>
      </rPr>
      <t>2026.02.26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</si>
  <si>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</si>
  <si>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重复：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批试剂做够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浓度：</t>
    </r>
    <r>
      <rPr>
        <sz val="9"/>
        <color theme="1"/>
        <rFont val="Times New Roman"/>
        <charset val="134"/>
      </rPr>
      <t xml:space="preserve">1*10^3copies/mL
</t>
    </r>
    <r>
      <rPr>
        <b/>
        <sz val="9"/>
        <color theme="1"/>
        <rFont val="宋体"/>
        <charset val="134"/>
      </rPr>
      <t>接受标准：</t>
    </r>
    <r>
      <rPr>
        <sz val="9"/>
        <color theme="1"/>
        <rFont val="宋体"/>
        <charset val="134"/>
      </rPr>
      <t>共计</t>
    </r>
    <r>
      <rPr>
        <sz val="9"/>
        <color rgb="FFFF0000"/>
        <rFont val="Times New Roman"/>
        <charset val="134"/>
      </rPr>
      <t>20</t>
    </r>
    <r>
      <rPr>
        <sz val="9"/>
        <color theme="1"/>
        <rFont val="宋体"/>
        <charset val="134"/>
      </rPr>
      <t>次检测，检出率不低于</t>
    </r>
    <r>
      <rPr>
        <sz val="9"/>
        <color theme="1"/>
        <rFont val="Times New Roman"/>
        <charset val="134"/>
      </rPr>
      <t>95%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CN500
56</t>
    </r>
    <r>
      <rPr>
        <sz val="9"/>
        <color theme="1"/>
        <rFont val="宋体"/>
        <charset val="134"/>
      </rPr>
      <t>个靶标</t>
    </r>
    <r>
      <rPr>
        <sz val="9"/>
        <color theme="1"/>
        <rFont val="Times New Roman"/>
        <charset val="134"/>
      </rPr>
      <t>*10</t>
    </r>
    <r>
      <rPr>
        <sz val="9"/>
        <color theme="1"/>
        <rFont val="宋体"/>
        <charset val="134"/>
      </rPr>
      <t>次重复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个来源样本</t>
    </r>
    <r>
      <rPr>
        <sz val="9"/>
        <color theme="1"/>
        <rFont val="Times New Roman"/>
        <charset val="134"/>
      </rPr>
      <t xml:space="preserve">
56*10*2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1120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1120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80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张）</t>
    </r>
  </si>
  <si>
    <t>2026.02.26</t>
  </si>
  <si>
    <t>0216</t>
  </si>
  <si>
    <t>0141</t>
  </si>
  <si>
    <t>0334</t>
  </si>
  <si>
    <t>0335</t>
  </si>
  <si>
    <t>2026.02.27
AM 08:00~09:00
PM 16:00~17:00</t>
  </si>
  <si>
    <t>2026.02.27
AM 09:00~10:00
PM 17:00~18:00</t>
  </si>
  <si>
    <r>
      <rPr>
        <sz val="9"/>
        <color theme="1"/>
        <rFont val="Times New Roman"/>
        <charset val="134"/>
      </rPr>
      <t>2026.02.27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</si>
  <si>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336</t>
    </r>
  </si>
  <si>
    <t>2026.02.27</t>
  </si>
  <si>
    <t>0218</t>
  </si>
  <si>
    <t>0336</t>
  </si>
  <si>
    <t>0337</t>
  </si>
  <si>
    <t>2026.02.28
AM 08:00~09:00
PM 16:00~17:00</t>
  </si>
  <si>
    <t>2026.02.28
AM 09:00~10:00
PM 17:00~18:00</t>
  </si>
  <si>
    <r>
      <rPr>
        <sz val="9"/>
        <color theme="1"/>
        <rFont val="Times New Roman"/>
        <charset val="134"/>
      </rPr>
      <t>2026.02.28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</si>
  <si>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504</t>
    </r>
  </si>
  <si>
    <t>2026.02.28</t>
  </si>
  <si>
    <t>0220</t>
  </si>
  <si>
    <t>0338</t>
  </si>
  <si>
    <t>0154</t>
  </si>
  <si>
    <t>0339</t>
  </si>
  <si>
    <t>2026.03.01
AM 08:00~09:00
PM 16:00~17:00</t>
  </si>
  <si>
    <t>2026.03.01
AM 09:00~10:00
PM 17:00~18:00</t>
  </si>
  <si>
    <r>
      <rPr>
        <sz val="9"/>
        <color theme="1"/>
        <rFont val="Times New Roman"/>
        <charset val="134"/>
      </rPr>
      <t>2026.03.01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</si>
  <si>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672</t>
    </r>
  </si>
  <si>
    <t>2026.03.01</t>
  </si>
  <si>
    <t>0222</t>
  </si>
  <si>
    <t>0340</t>
  </si>
  <si>
    <t>0156</t>
  </si>
  <si>
    <t>0341</t>
  </si>
  <si>
    <t>2026.03.02
AM 08:00~09:00
PM 16:00~17:00</t>
  </si>
  <si>
    <t>2026.03.02
AM 09:00~10:00
PM 17:00~18:00</t>
  </si>
  <si>
    <r>
      <rPr>
        <sz val="9"/>
        <color theme="1"/>
        <rFont val="Times New Roman"/>
        <charset val="134"/>
      </rPr>
      <t>2026.03.02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</si>
  <si>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840</t>
    </r>
  </si>
  <si>
    <t>2026.03.02</t>
  </si>
  <si>
    <t>0224</t>
  </si>
  <si>
    <t>0342</t>
  </si>
  <si>
    <t>0158</t>
  </si>
  <si>
    <t>0343</t>
  </si>
  <si>
    <t>2026.03.03
AM 08:00~09:00
PM 16:00~17:00</t>
  </si>
  <si>
    <t>2026.03.03
AM 09:00~10:00
PM 17:00~18:00</t>
  </si>
  <si>
    <r>
      <rPr>
        <sz val="9"/>
        <color theme="1"/>
        <rFont val="Times New Roman"/>
        <charset val="134"/>
      </rPr>
      <t>2026.03.03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</si>
  <si>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1008</t>
    </r>
  </si>
  <si>
    <t>2026.03.03</t>
  </si>
  <si>
    <t>0226</t>
  </si>
  <si>
    <t>0344</t>
  </si>
  <si>
    <t>0160</t>
  </si>
  <si>
    <t>0345</t>
  </si>
  <si>
    <t>2026.03.04
AM 08:00~09:00
PM 16:00~17:00</t>
  </si>
  <si>
    <t>2026.03.04
AM 09:00~10:00
PM 17:00~18:00</t>
  </si>
  <si>
    <r>
      <rPr>
        <sz val="9"/>
        <color theme="1"/>
        <rFont val="Times New Roman"/>
        <charset val="134"/>
      </rPr>
      <t>2026.03.04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19:00,RUN2*1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</si>
  <si>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28*4=112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1120</t>
    </r>
  </si>
  <si>
    <t>2026.03.04</t>
  </si>
  <si>
    <t>0228</t>
  </si>
  <si>
    <t>0346</t>
  </si>
  <si>
    <t>0137</t>
  </si>
  <si>
    <t>0162</t>
  </si>
  <si>
    <t>0347</t>
  </si>
  <si>
    <t>2026.03.05
AM 08:00~09:00
PM 16:00~17:00</t>
  </si>
  <si>
    <t>2026.03.05
AM 09:00~10:00
PM 17:00~18:00</t>
  </si>
  <si>
    <r>
      <rPr>
        <sz val="9"/>
        <color theme="1"/>
        <rFont val="Times New Roman"/>
        <charset val="134"/>
      </rPr>
      <t>2026.03.05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</si>
  <si>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</si>
  <si>
    <r>
      <rPr>
        <b/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病毒</t>
    </r>
    <r>
      <rPr>
        <sz val="9"/>
        <color theme="1"/>
        <rFont val="Times New Roman"/>
        <charset val="134"/>
      </rPr>
      <t>50</t>
    </r>
    <r>
      <rPr>
        <sz val="9"/>
        <color theme="1"/>
        <rFont val="宋体"/>
        <charset val="134"/>
      </rPr>
      <t>例、细菌</t>
    </r>
    <r>
      <rPr>
        <sz val="9"/>
        <color theme="1"/>
        <rFont val="Times New Roman"/>
        <charset val="134"/>
      </rPr>
      <t>120</t>
    </r>
    <r>
      <rPr>
        <sz val="9"/>
        <color theme="1"/>
        <rFont val="宋体"/>
        <charset val="134"/>
      </rPr>
      <t>例、真菌</t>
    </r>
    <r>
      <rPr>
        <sz val="9"/>
        <color theme="1"/>
        <rFont val="Times New Roman"/>
        <charset val="134"/>
      </rPr>
      <t>130</t>
    </r>
    <r>
      <rPr>
        <sz val="9"/>
        <color theme="1"/>
        <rFont val="宋体"/>
        <charset val="134"/>
      </rPr>
      <t>例、非典型细菌</t>
    </r>
    <r>
      <rPr>
        <sz val="9"/>
        <color theme="1"/>
        <rFont val="Times New Roman"/>
        <charset val="134"/>
      </rPr>
      <t>90</t>
    </r>
    <r>
      <rPr>
        <sz val="9"/>
        <color theme="1"/>
        <rFont val="宋体"/>
        <charset val="134"/>
      </rPr>
      <t>例、结核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例阳性进行阳性判断值验证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420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420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张）</t>
    </r>
  </si>
  <si>
    <t>2026.03.05</t>
  </si>
  <si>
    <t>0230</t>
  </si>
  <si>
    <t>0348</t>
  </si>
  <si>
    <t>0139</t>
  </si>
  <si>
    <t>0164</t>
  </si>
  <si>
    <t>0349</t>
  </si>
  <si>
    <t>0140</t>
  </si>
  <si>
    <t>2026.03.06
AM 08:00~09:00
PM 16:00~17:00</t>
  </si>
  <si>
    <t>2026.03.06
AM 09:00~10:00
PM 17:00~18:00</t>
  </si>
  <si>
    <r>
      <rPr>
        <sz val="9"/>
        <color theme="1"/>
        <rFont val="Times New Roman"/>
        <charset val="134"/>
      </rPr>
      <t>2026.03.06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</si>
  <si>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336</t>
    </r>
  </si>
  <si>
    <t>2026.03.06</t>
  </si>
  <si>
    <t>0232</t>
  </si>
  <si>
    <t>0350</t>
  </si>
  <si>
    <t>0166</t>
  </si>
  <si>
    <t>0351</t>
  </si>
  <si>
    <t>0142</t>
  </si>
  <si>
    <t>2026.03.07
AM 08:00~09:00</t>
  </si>
  <si>
    <t>2026.03.07
AM 09:00~10:00</t>
  </si>
  <si>
    <r>
      <rPr>
        <sz val="9"/>
        <color theme="1"/>
        <rFont val="Times New Roman"/>
        <charset val="134"/>
      </rPr>
      <t>2026.03.07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</t>
    </r>
  </si>
  <si>
    <r>
      <rPr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28*3=84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420</t>
    </r>
  </si>
  <si>
    <t>2026.03.07</t>
  </si>
  <si>
    <t>0234</t>
  </si>
  <si>
    <t>0352</t>
  </si>
  <si>
    <t>2026.03.08
AM 08:00~09:00</t>
  </si>
  <si>
    <t>2026.03.08
AM 09:00~10:00</t>
  </si>
  <si>
    <r>
      <rPr>
        <sz val="9"/>
        <color theme="1"/>
        <rFont val="Times New Roman"/>
        <charset val="134"/>
      </rPr>
      <t>2026.03.08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</t>
    </r>
  </si>
  <si>
    <r>
      <rPr>
        <sz val="9"/>
        <color theme="1"/>
        <rFont val="宋体"/>
        <charset val="134"/>
      </rPr>
      <t>人源宿主干扰：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24*1=24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</t>
    </r>
  </si>
  <si>
    <r>
      <rPr>
        <sz val="9"/>
        <color theme="1"/>
        <rFont val="宋体"/>
        <charset val="134"/>
      </rPr>
      <t>人源宿主干扰：</t>
    </r>
    <r>
      <rPr>
        <sz val="9"/>
        <color theme="1"/>
        <rFont val="Times New Roman"/>
        <charset val="134"/>
      </rPr>
      <t>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56-4</t>
    </r>
    <r>
      <rPr>
        <sz val="9"/>
        <color theme="1"/>
        <rFont val="宋体"/>
        <charset val="134"/>
      </rPr>
      <t>）个</t>
    </r>
    <r>
      <rPr>
        <sz val="9"/>
        <color theme="1"/>
        <rFont val="Times New Roman"/>
        <charset val="134"/>
      </rPr>
      <t>1*10^3 cp/ml</t>
    </r>
    <r>
      <rPr>
        <sz val="9"/>
        <color theme="1"/>
        <rFont val="宋体"/>
        <charset val="134"/>
      </rPr>
      <t>菌种，混合成</t>
    </r>
    <r>
      <rPr>
        <sz val="9"/>
        <color theme="1"/>
        <rFont val="Times New Roman"/>
        <charset val="134"/>
      </rPr>
      <t>6</t>
    </r>
    <r>
      <rPr>
        <sz val="9"/>
        <color theme="1"/>
        <rFont val="宋体"/>
        <charset val="134"/>
      </rPr>
      <t>管，分别投入不同浓度的人源细胞，</t>
    </r>
    <r>
      <rPr>
        <sz val="9"/>
        <color theme="1"/>
        <rFont val="Times New Roman"/>
        <charset val="134"/>
      </rPr>
      <t>1×10^4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1×10^5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1×10^6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1×10^7</t>
    </r>
    <r>
      <rPr>
        <sz val="9"/>
        <color theme="1"/>
        <rFont val="宋体"/>
        <charset val="134"/>
      </rPr>
      <t>，各提取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次。两种型号测序仪上机。</t>
    </r>
    <r>
      <rPr>
        <sz val="9"/>
        <color theme="1"/>
        <rFont val="Times New Roman"/>
        <charset val="134"/>
      </rPr>
      <t xml:space="preserve">
6*4=24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24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24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张）</t>
    </r>
  </si>
  <si>
    <t>2026.03.08</t>
  </si>
  <si>
    <t>0122</t>
  </si>
  <si>
    <r>
      <rPr>
        <sz val="9"/>
        <color theme="1"/>
        <rFont val="Times New Roman"/>
        <charset val="134"/>
      </rPr>
      <t>2026.03.08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</t>
    </r>
  </si>
  <si>
    <r>
      <rPr>
        <sz val="9"/>
        <color theme="1"/>
        <rFont val="宋体"/>
        <charset val="134"/>
      </rPr>
      <t>竞争干扰：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30*1=30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30</t>
    </r>
  </si>
  <si>
    <r>
      <rPr>
        <sz val="9"/>
        <color theme="1"/>
        <rFont val="宋体"/>
        <charset val="134"/>
      </rPr>
      <t>竞争干扰：菌种，混合成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种组合，临床阴性</t>
    </r>
    <r>
      <rPr>
        <sz val="9"/>
        <color theme="1"/>
        <rFont val="Times New Roman"/>
        <charset val="134"/>
      </rPr>
      <t>BALF</t>
    </r>
    <r>
      <rPr>
        <sz val="9"/>
        <color theme="1"/>
        <rFont val="宋体"/>
        <charset val="134"/>
      </rPr>
      <t>作为基质。按照大类分析，确保每大类有高浓度和低浓度。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接受标准：低浓度也要检出。</t>
    </r>
    <r>
      <rPr>
        <sz val="9"/>
        <color theme="1"/>
        <rFont val="Times New Roman"/>
        <charset val="134"/>
      </rPr>
      <t xml:space="preserve">
30*1=30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30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30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张）</t>
    </r>
  </si>
  <si>
    <t>2026.03.08
PM 16:00~17:00</t>
  </si>
  <si>
    <t>2026.03.08
PM 17:00~18:00</t>
  </si>
  <si>
    <r>
      <rPr>
        <sz val="9"/>
        <color theme="1"/>
        <rFont val="Times New Roman"/>
        <charset val="134"/>
      </rPr>
      <t>2026.03.08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19:00,RUN1</t>
    </r>
  </si>
  <si>
    <r>
      <rPr>
        <sz val="9"/>
        <color theme="1"/>
        <rFont val="宋体"/>
        <charset val="134"/>
      </rPr>
      <t>交叉反应：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28*1=28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</t>
    </r>
  </si>
  <si>
    <r>
      <rPr>
        <sz val="9"/>
        <color theme="1"/>
        <rFont val="宋体"/>
        <charset val="134"/>
      </rPr>
      <t>交叉反应：参考</t>
    </r>
    <r>
      <rPr>
        <sz val="9"/>
        <color theme="1"/>
        <rFont val="Times New Roman"/>
        <charset val="134"/>
      </rPr>
      <t>FN</t>
    </r>
    <r>
      <rPr>
        <sz val="9"/>
        <color theme="1"/>
        <rFont val="宋体"/>
        <charset val="134"/>
      </rPr>
      <t>系列企参设计。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接受标准：不检出代表性病原体，则为不干扰。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试剂：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rgb="FFFF0000"/>
        <rFont val="宋体"/>
        <charset val="134"/>
      </rPr>
      <t>假设：</t>
    </r>
    <r>
      <rPr>
        <sz val="9"/>
        <color rgb="FFFF0000"/>
        <rFont val="Times New Roman"/>
        <charset val="134"/>
      </rPr>
      <t>28</t>
    </r>
    <r>
      <rPr>
        <sz val="9"/>
        <color rgb="FFFF0000"/>
        <rFont val="宋体"/>
        <charset val="134"/>
      </rPr>
      <t>例</t>
    </r>
    <r>
      <rPr>
        <sz val="9"/>
        <color theme="1"/>
        <rFont val="Times New Roman"/>
        <charset val="134"/>
      </rPr>
      <t xml:space="preserve">
</t>
    </r>
    <r>
      <rPr>
        <b/>
        <sz val="9"/>
        <color rgb="FFFF0000"/>
        <rFont val="宋体"/>
        <charset val="134"/>
      </rPr>
      <t>提取数量：</t>
    </r>
    <r>
      <rPr>
        <b/>
        <sz val="9"/>
        <color rgb="FFFF0000"/>
        <rFont val="Times New Roman"/>
        <charset val="134"/>
      </rPr>
      <t xml:space="preserve">28
</t>
    </r>
    <r>
      <rPr>
        <b/>
        <sz val="9"/>
        <color rgb="FFFF0000"/>
        <rFont val="宋体"/>
        <charset val="134"/>
      </rPr>
      <t>建库数量：</t>
    </r>
    <r>
      <rPr>
        <b/>
        <sz val="9"/>
        <color rgb="FFFF0000"/>
        <rFont val="Times New Roman"/>
        <charset val="134"/>
      </rPr>
      <t xml:space="preserve">28
</t>
    </r>
    <r>
      <rPr>
        <b/>
        <sz val="9"/>
        <color rgb="FFFF0000"/>
        <rFont val="宋体"/>
        <charset val="134"/>
      </rPr>
      <t>芯片数量：</t>
    </r>
    <r>
      <rPr>
        <b/>
        <sz val="9"/>
        <color rgb="FFFF0000"/>
        <rFont val="Times New Roman"/>
        <charset val="134"/>
      </rPr>
      <t>2</t>
    </r>
    <r>
      <rPr>
        <b/>
        <sz val="9"/>
        <color rgb="FFFF0000"/>
        <rFont val="宋体"/>
        <charset val="134"/>
      </rPr>
      <t>（每种机型</t>
    </r>
    <r>
      <rPr>
        <b/>
        <sz val="9"/>
        <color rgb="FFFF0000"/>
        <rFont val="Times New Roman"/>
        <charset val="134"/>
      </rPr>
      <t>1</t>
    </r>
    <r>
      <rPr>
        <b/>
        <sz val="9"/>
        <color rgb="FFFF0000"/>
        <rFont val="宋体"/>
        <charset val="134"/>
      </rPr>
      <t>张）</t>
    </r>
  </si>
  <si>
    <r>
      <rPr>
        <sz val="9"/>
        <color theme="1"/>
        <rFont val="Times New Roman"/>
        <charset val="134"/>
      </rPr>
      <t>2026.03.08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19:00,RUN1</t>
    </r>
  </si>
  <si>
    <r>
      <rPr>
        <sz val="9"/>
        <color theme="1"/>
        <rFont val="宋体"/>
        <charset val="134"/>
      </rPr>
      <t>内、外源物质干扰：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28*1=28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</t>
    </r>
  </si>
  <si>
    <r>
      <rPr>
        <sz val="9"/>
        <color theme="1"/>
        <rFont val="宋体"/>
        <charset val="134"/>
      </rPr>
      <t>内、外源物质干扰：</t>
    </r>
    <r>
      <rPr>
        <sz val="9"/>
        <color theme="1"/>
        <rFont val="Times New Roman"/>
        <charset val="134"/>
      </rPr>
      <t>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56-4</t>
    </r>
    <r>
      <rPr>
        <sz val="9"/>
        <color theme="1"/>
        <rFont val="宋体"/>
        <charset val="134"/>
      </rPr>
      <t>）个</t>
    </r>
    <r>
      <rPr>
        <sz val="9"/>
        <color theme="1"/>
        <rFont val="Times New Roman"/>
        <charset val="134"/>
      </rPr>
      <t>1*10^3 cp/ml</t>
    </r>
    <r>
      <rPr>
        <sz val="9"/>
        <color theme="1"/>
        <rFont val="宋体"/>
        <charset val="134"/>
      </rPr>
      <t>菌种，混合成</t>
    </r>
    <r>
      <rPr>
        <sz val="9"/>
        <color theme="1"/>
        <rFont val="Times New Roman"/>
        <charset val="134"/>
      </rPr>
      <t>6</t>
    </r>
    <r>
      <rPr>
        <sz val="9"/>
        <color theme="1"/>
        <rFont val="宋体"/>
        <charset val="134"/>
      </rPr>
      <t>管，临床阴性</t>
    </r>
    <r>
      <rPr>
        <sz val="9"/>
        <color theme="1"/>
        <rFont val="Times New Roman"/>
        <charset val="134"/>
      </rPr>
      <t>BALF</t>
    </r>
    <r>
      <rPr>
        <sz val="9"/>
        <color theme="1"/>
        <rFont val="宋体"/>
        <charset val="134"/>
      </rPr>
      <t>作为基质。分别投入</t>
    </r>
    <r>
      <rPr>
        <sz val="9"/>
        <color theme="1"/>
        <rFont val="Times New Roman"/>
        <charset val="134"/>
      </rPr>
      <t>18</t>
    </r>
    <r>
      <rPr>
        <sz val="9"/>
        <color theme="1"/>
        <rFont val="宋体"/>
        <charset val="134"/>
      </rPr>
      <t>种干扰物</t>
    </r>
    <r>
      <rPr>
        <sz val="9"/>
        <color theme="1"/>
        <rFont val="Times New Roman"/>
        <charset val="134"/>
      </rPr>
      <t>+1</t>
    </r>
    <r>
      <rPr>
        <sz val="9"/>
        <color theme="1"/>
        <rFont val="宋体"/>
        <charset val="134"/>
      </rPr>
      <t>对照组。两种型号测序仪上机。</t>
    </r>
    <r>
      <rPr>
        <sz val="9"/>
        <color theme="1"/>
        <rFont val="Times New Roman"/>
        <charset val="134"/>
      </rPr>
      <t xml:space="preserve">
19*6=114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114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114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张）</t>
    </r>
  </si>
  <si>
    <t>0172</t>
  </si>
  <si>
    <r>
      <rPr>
        <sz val="9"/>
        <color theme="1"/>
        <rFont val="Times New Roman"/>
        <charset val="134"/>
      </rP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</si>
  <si>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宋体"/>
        <charset val="134"/>
      </rPr>
      <t>实验员</t>
    </r>
    <r>
      <rPr>
        <sz val="9"/>
        <color theme="1"/>
        <rFont val="Times New Roman"/>
        <charset val="134"/>
      </rPr>
      <t xml:space="preserve"> B</t>
    </r>
  </si>
  <si>
    <t>PM 14:00~14:30</t>
  </si>
  <si>
    <r>
      <rPr>
        <sz val="9"/>
        <color theme="1"/>
        <rFont val="Times New Roman"/>
        <charset val="134"/>
      </rPr>
      <t>PM 14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45~16:45</t>
    </r>
  </si>
  <si>
    <r>
      <rPr>
        <sz val="9"/>
        <color theme="1"/>
        <rFont val="Times New Roman"/>
        <charset val="134"/>
      </rPr>
      <t>PM 17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00~18:00</t>
    </r>
  </si>
  <si>
    <r>
      <rPr>
        <sz val="9"/>
        <color theme="1"/>
        <rFont val="Times New Roman"/>
        <charset val="134"/>
      </rPr>
      <t>PM 18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00~19:00</t>
    </r>
  </si>
  <si>
    <r>
      <rPr>
        <sz val="9"/>
        <color theme="1"/>
        <rFont val="Times New Roman"/>
        <charset val="134"/>
      </rP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</si>
  <si>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样本：</t>
    </r>
    <r>
      <rPr>
        <sz val="9"/>
        <color theme="1"/>
        <rFont val="Times New Roman"/>
        <charset val="134"/>
      </rPr>
      <t>13+13=26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</si>
  <si>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</si>
  <si>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</t>
    </r>
  </si>
  <si>
    <t>0236</t>
  </si>
  <si>
    <r>
      <rPr>
        <sz val="9"/>
        <color theme="1"/>
        <rFont val="Times New Roman"/>
        <charset val="134"/>
      </rP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</si>
  <si>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宋体"/>
        <charset val="134"/>
      </rPr>
      <t>实验员</t>
    </r>
    <r>
      <rPr>
        <sz val="9"/>
        <color theme="1"/>
        <rFont val="Times New Roman"/>
        <charset val="134"/>
      </rPr>
      <t xml:space="preserve"> C</t>
    </r>
  </si>
  <si>
    <t>/</t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</si>
  <si>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</si>
  <si>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0354</t>
  </si>
  <si>
    <t>2026.03.09
AM 08:00~09:00
PM 16:00~17:00</t>
  </si>
  <si>
    <t>2026.03.09
AM 09:00~10:00
PM 17:00~18:00</t>
  </si>
  <si>
    <r>
      <rPr>
        <sz val="9"/>
        <color theme="1"/>
        <rFont val="Times New Roman"/>
        <charset val="134"/>
      </rPr>
      <t>2026.03.09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10:00,RUN1*2
PM 19:00,RUN2*1</t>
    </r>
  </si>
  <si>
    <r>
      <rPr>
        <sz val="9"/>
        <color theme="1"/>
        <rFont val="宋体"/>
        <charset val="134"/>
      </rPr>
      <t>内、外源物质干扰：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29*3=87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115</t>
    </r>
  </si>
  <si>
    <t>2026.03.09</t>
  </si>
  <si>
    <r>
      <rPr>
        <sz val="9"/>
        <color theme="1"/>
        <rFont val="Times New Roman"/>
        <charset val="134"/>
      </rP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</si>
  <si>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</si>
  <si>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-2</t>
    </r>
  </si>
  <si>
    <t>0238</t>
  </si>
  <si>
    <r>
      <rPr>
        <sz val="9"/>
        <color theme="1"/>
        <rFont val="Times New Roman"/>
        <charset val="134"/>
      </rP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</si>
  <si>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0356</t>
  </si>
  <si>
    <t>2026.03.07~2026.03.10</t>
  </si>
  <si>
    <t>2026.03.08~2026.03.11</t>
  </si>
  <si>
    <t>2026.03.10
AM 08:00~09:00
PM 16:00~17:00</t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</si>
  <si>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I</t>
    </r>
  </si>
  <si>
    <t>2026.03.10
AM 09:00~10:00
PM 17:00~18:00</t>
  </si>
  <si>
    <r>
      <rPr>
        <sz val="9"/>
        <color theme="1"/>
        <rFont val="Times New Roman"/>
        <charset val="134"/>
      </rPr>
      <t>2026.03.10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</si>
  <si>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28*5=140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140</t>
    </r>
  </si>
  <si>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+02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+03</t>
    </r>
    <r>
      <rPr>
        <sz val="9"/>
        <color theme="1"/>
        <rFont val="宋体"/>
        <charset val="134"/>
      </rPr>
      <t>批试剂</t>
    </r>
  </si>
  <si>
    <r>
      <rPr>
        <b/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重复：</t>
    </r>
    <r>
      <rPr>
        <sz val="9"/>
        <color theme="1"/>
        <rFont val="宋体"/>
        <charset val="134"/>
      </rPr>
      <t>每个样本重复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浓度：</t>
    </r>
    <r>
      <rPr>
        <sz val="9"/>
        <color theme="1"/>
        <rFont val="宋体"/>
        <charset val="134"/>
      </rPr>
      <t>检出限附近。即（</t>
    </r>
    <r>
      <rPr>
        <sz val="9"/>
        <color theme="1"/>
        <rFont val="Times New Roman"/>
        <charset val="134"/>
      </rPr>
      <t>1~5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*10^3 cp/ml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样本：</t>
    </r>
    <r>
      <rPr>
        <sz val="9"/>
        <color theme="1"/>
        <rFont val="Times New Roman"/>
        <charset val="134"/>
      </rPr>
      <t>56</t>
    </r>
    <r>
      <rPr>
        <sz val="9"/>
        <color theme="1"/>
        <rFont val="宋体"/>
        <charset val="134"/>
      </rPr>
      <t>个单靶标的样本。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例来自不同时间和区域的样本。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试剂：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接受标准：</t>
    </r>
    <r>
      <rPr>
        <sz val="9"/>
        <color theme="1"/>
        <rFont val="宋体"/>
        <charset val="134"/>
      </rPr>
      <t>不同来源符合率</t>
    </r>
    <r>
      <rPr>
        <sz val="9"/>
        <color theme="1"/>
        <rFont val="Times New Roman"/>
        <charset val="134"/>
      </rPr>
      <t>100%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56*5*10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2800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2800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200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100</t>
    </r>
    <r>
      <rPr>
        <sz val="9"/>
        <color theme="1"/>
        <rFont val="宋体"/>
        <charset val="134"/>
      </rPr>
      <t>张）</t>
    </r>
  </si>
  <si>
    <t>2026.03.10</t>
  </si>
  <si>
    <t>0174</t>
  </si>
  <si>
    <t>0358</t>
  </si>
  <si>
    <t>0176</t>
  </si>
  <si>
    <r>
      <rPr>
        <sz val="9"/>
        <color theme="1"/>
        <rFont val="Times New Roman"/>
        <charset val="134"/>
      </rP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</si>
  <si>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</si>
  <si>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</si>
  <si>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-3</t>
    </r>
  </si>
  <si>
    <t>0359</t>
  </si>
  <si>
    <r>
      <rPr>
        <sz val="9"/>
        <color theme="1"/>
        <rFont val="Times New Roman"/>
        <charset val="134"/>
      </rP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</si>
  <si>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</si>
  <si>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0241</t>
  </si>
  <si>
    <t>2026.03.11
AM 08:00~09:00
PM 16:00~17:00</t>
  </si>
  <si>
    <t>2026.03.11
AM 09:00~10:00
PM 17:00~18:00</t>
  </si>
  <si>
    <r>
      <rPr>
        <sz val="9"/>
        <color theme="1"/>
        <rFont val="Times New Roman"/>
        <charset val="134"/>
      </rPr>
      <t>2026.03.11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</si>
  <si>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280</t>
    </r>
  </si>
  <si>
    <t>2026.03.11</t>
  </si>
  <si>
    <t>0360</t>
  </si>
  <si>
    <t>0168</t>
  </si>
  <si>
    <r>
      <rPr>
        <sz val="9"/>
        <color theme="1"/>
        <rFont val="Times New Roman"/>
        <charset val="134"/>
      </rP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</si>
  <si>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</si>
  <si>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-4</t>
    </r>
  </si>
  <si>
    <t>0361</t>
  </si>
  <si>
    <r>
      <rPr>
        <sz val="9"/>
        <color theme="1"/>
        <rFont val="Times New Roman"/>
        <charset val="134"/>
      </rP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</si>
  <si>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0243</t>
  </si>
  <si>
    <t>2026.03.12
AM 08:00~09:00
PM 16:00~17:00</t>
  </si>
  <si>
    <t>2026.03.12
AM 09:00~10:00
PM 17:00~18:00</t>
  </si>
  <si>
    <r>
      <rPr>
        <sz val="9"/>
        <color theme="1"/>
        <rFont val="Times New Roman"/>
        <charset val="134"/>
      </rPr>
      <t>2026.03.12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</si>
  <si>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420</t>
    </r>
  </si>
  <si>
    <t>2026.03.12</t>
  </si>
  <si>
    <t>0362</t>
  </si>
  <si>
    <t>0170</t>
  </si>
  <si>
    <r>
      <rPr>
        <sz val="9"/>
        <color theme="1"/>
        <rFont val="Times New Roman"/>
        <charset val="134"/>
      </rP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</si>
  <si>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</si>
  <si>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-5</t>
    </r>
  </si>
  <si>
    <t>0245</t>
  </si>
  <si>
    <r>
      <rPr>
        <sz val="9"/>
        <color theme="1"/>
        <rFont val="Times New Roman"/>
        <charset val="134"/>
      </rP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</si>
  <si>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0363</t>
  </si>
  <si>
    <t>2026.03.13
AM 08:00~09:00
PM 16:00~17:00</t>
  </si>
  <si>
    <t>2026.03.13
AM 09:00~10:00
PM 17:00~18:00</t>
  </si>
  <si>
    <r>
      <rPr>
        <sz val="9"/>
        <color theme="1"/>
        <rFont val="Times New Roman"/>
        <charset val="134"/>
      </rPr>
      <t>2026.03.13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</si>
  <si>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560</t>
    </r>
  </si>
  <si>
    <t>2026.03.13</t>
  </si>
  <si>
    <t>0364</t>
  </si>
  <si>
    <r>
      <rPr>
        <sz val="9"/>
        <color theme="1"/>
        <rFont val="Times New Roman"/>
        <charset val="134"/>
      </rPr>
      <t>2026.03.13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</si>
  <si>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</si>
  <si>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-6</t>
    </r>
  </si>
  <si>
    <t>0247</t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</si>
  <si>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</si>
  <si>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t>0365</t>
  </si>
  <si>
    <t>2026.03.14
AM 08:00~09:00
PM 16:00~17:00</t>
  </si>
  <si>
    <t>2026.03.14
AM 09:00~10:00
PM 17:00~18:00</t>
  </si>
  <si>
    <r>
      <rPr>
        <sz val="9"/>
        <color theme="1"/>
        <rFont val="Times New Roman"/>
        <charset val="134"/>
      </rPr>
      <t>2026.03.14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</si>
  <si>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700</t>
    </r>
  </si>
  <si>
    <t>2026.03.14</t>
  </si>
  <si>
    <r>
      <rPr>
        <b/>
        <sz val="8"/>
        <color theme="1"/>
        <rFont val="宋体"/>
        <charset val="134"/>
      </rPr>
      <t>包容性：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重复：</t>
    </r>
    <r>
      <rPr>
        <sz val="8"/>
        <color theme="1"/>
        <rFont val="宋体"/>
        <charset val="134"/>
      </rPr>
      <t>每个样本重复</t>
    </r>
    <r>
      <rPr>
        <sz val="8"/>
        <color theme="1"/>
        <rFont val="Times New Roman"/>
        <charset val="134"/>
      </rPr>
      <t>10</t>
    </r>
    <r>
      <rPr>
        <sz val="8"/>
        <color theme="1"/>
        <rFont val="宋体"/>
        <charset val="134"/>
      </rPr>
      <t>次。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浓度：</t>
    </r>
    <r>
      <rPr>
        <sz val="8"/>
        <color theme="1"/>
        <rFont val="宋体"/>
        <charset val="134"/>
      </rPr>
      <t>检出限附近。即（</t>
    </r>
    <r>
      <rPr>
        <sz val="8"/>
        <color theme="1"/>
        <rFont val="Times New Roman"/>
        <charset val="134"/>
      </rPr>
      <t>1~5</t>
    </r>
    <r>
      <rPr>
        <sz val="8"/>
        <color theme="1"/>
        <rFont val="宋体"/>
        <charset val="134"/>
      </rPr>
      <t>）</t>
    </r>
    <r>
      <rPr>
        <sz val="8"/>
        <color theme="1"/>
        <rFont val="Times New Roman"/>
        <charset val="134"/>
      </rPr>
      <t>*10^3 cp/ml</t>
    </r>
    <r>
      <rPr>
        <sz val="8"/>
        <color theme="1"/>
        <rFont val="宋体"/>
        <charset val="134"/>
      </rPr>
      <t xml:space="preserve">。
</t>
    </r>
    <r>
      <rPr>
        <b/>
        <sz val="8"/>
        <color theme="1"/>
        <rFont val="宋体"/>
        <charset val="134"/>
      </rPr>
      <t>样本：</t>
    </r>
    <r>
      <rPr>
        <sz val="8"/>
        <color theme="1"/>
        <rFont val="宋体"/>
        <charset val="134"/>
      </rPr>
      <t>56个单靶标的样本。5例来自不同时间和区域的样本。</t>
    </r>
    <r>
      <rPr>
        <sz val="8"/>
        <color theme="1"/>
        <rFont val="Times New Roman"/>
        <charset val="134"/>
      </rPr>
      <t xml:space="preserve">
</t>
    </r>
    <r>
      <rPr>
        <sz val="8"/>
        <color theme="1"/>
        <rFont val="宋体"/>
        <charset val="134"/>
      </rPr>
      <t>试剂：</t>
    </r>
    <r>
      <rPr>
        <sz val="8"/>
        <color theme="1"/>
        <rFont val="Times New Roman"/>
        <charset val="134"/>
      </rPr>
      <t>1</t>
    </r>
    <r>
      <rPr>
        <sz val="8"/>
        <color theme="1"/>
        <rFont val="宋体"/>
        <charset val="134"/>
      </rPr>
      <t>批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接受标准：</t>
    </r>
    <r>
      <rPr>
        <sz val="8"/>
        <color theme="1"/>
        <rFont val="宋体"/>
        <charset val="134"/>
      </rPr>
      <t>不同来源符合率</t>
    </r>
    <r>
      <rPr>
        <sz val="8"/>
        <color theme="1"/>
        <rFont val="Times New Roman"/>
        <charset val="134"/>
      </rPr>
      <t>100%</t>
    </r>
    <r>
      <rPr>
        <sz val="8"/>
        <color theme="1"/>
        <rFont val="宋体"/>
        <charset val="134"/>
      </rPr>
      <t>。</t>
    </r>
    <r>
      <rPr>
        <sz val="8"/>
        <color theme="1"/>
        <rFont val="Times New Roman"/>
        <charset val="134"/>
      </rPr>
      <t xml:space="preserve">
56*5*10
</t>
    </r>
    <r>
      <rPr>
        <sz val="8"/>
        <color theme="1"/>
        <rFont val="宋体"/>
        <charset val="134"/>
      </rPr>
      <t>仪器：550Dx、CN500
提取数量：2800
建库数量：2800
芯片数量：200（每种机型100张）</t>
    </r>
  </si>
  <si>
    <t>0366</t>
  </si>
  <si>
    <r>
      <rPr>
        <sz val="9"/>
        <color theme="1"/>
        <rFont val="Times New Roman"/>
        <charset val="134"/>
      </rPr>
      <t>2026.03.14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</si>
  <si>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</si>
  <si>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-7</t>
    </r>
  </si>
  <si>
    <t>0367</t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</si>
  <si>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</si>
  <si>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t>0249</t>
  </si>
  <si>
    <t>2026.03.15
AM 08:00~09:00
PM 16:00~17:00</t>
  </si>
  <si>
    <t>2026.03.15
AM 09:00~10:00
PM 17:00~18:00</t>
  </si>
  <si>
    <r>
      <rPr>
        <sz val="9"/>
        <color theme="1"/>
        <rFont val="Times New Roman"/>
        <charset val="134"/>
      </rPr>
      <t>2026.03.15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</si>
  <si>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840</t>
    </r>
  </si>
  <si>
    <t>2026.03.15</t>
  </si>
  <si>
    <t>0368</t>
  </si>
  <si>
    <t>0186</t>
  </si>
  <si>
    <r>
      <rPr>
        <sz val="9"/>
        <color theme="1"/>
        <rFont val="Times New Roman"/>
        <charset val="134"/>
      </rPr>
      <t>2026.03.15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</si>
  <si>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</si>
  <si>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-8</t>
    </r>
  </si>
  <si>
    <t>0369</t>
  </si>
  <si>
    <t>0251</t>
  </si>
  <si>
    <t>2026.03.16
AM 08:00~09:00
PM 16:00~17:00</t>
  </si>
  <si>
    <t>2026.03.16
AM 09:00~10:00
PM 17:00~18:00</t>
  </si>
  <si>
    <r>
      <rPr>
        <sz val="9"/>
        <color theme="1"/>
        <rFont val="Times New Roman"/>
        <charset val="134"/>
      </rPr>
      <t>2026.03.16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</si>
  <si>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980</t>
    </r>
  </si>
  <si>
    <t>2026.03.16</t>
  </si>
  <si>
    <t>0370</t>
  </si>
  <si>
    <t>0138</t>
  </si>
  <si>
    <r>
      <rPr>
        <sz val="9"/>
        <color theme="1"/>
        <rFont val="Times New Roman"/>
        <charset val="134"/>
      </rPr>
      <t>2026.03.16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</si>
  <si>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</si>
  <si>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-9</t>
    </r>
  </si>
  <si>
    <t>0253</t>
  </si>
  <si>
    <t>0371</t>
  </si>
  <si>
    <t>2026.03.17
AM 08:00~09:00
PM 16:00~17:00</t>
  </si>
  <si>
    <t>2026.03.17
AM 09:00~10:00
PM 17:00~18:00</t>
  </si>
  <si>
    <r>
      <rPr>
        <sz val="9"/>
        <color theme="1"/>
        <rFont val="Times New Roman"/>
        <charset val="134"/>
      </rPr>
      <t>2026.03.17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</si>
  <si>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1120</t>
    </r>
  </si>
  <si>
    <t>2026.03.17</t>
  </si>
  <si>
    <t>0372</t>
  </si>
  <si>
    <t>0190</t>
  </si>
  <si>
    <r>
      <rPr>
        <sz val="9"/>
        <color theme="1"/>
        <rFont val="Times New Roman"/>
        <charset val="134"/>
      </rPr>
      <t>2026.03.17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</si>
  <si>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</si>
  <si>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-10</t>
    </r>
  </si>
  <si>
    <t>0255</t>
  </si>
  <si>
    <t>0373</t>
  </si>
  <si>
    <t>2026.03.18
AM 08:00~09:00
PM 16:00~17:00</t>
  </si>
  <si>
    <t>2026.03.18
AM 09:00~10:00
PM 17:00~18:00</t>
  </si>
  <si>
    <r>
      <rPr>
        <sz val="9"/>
        <color theme="1"/>
        <rFont val="Times New Roman"/>
        <charset val="134"/>
      </rPr>
      <t>2026.03.18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</si>
  <si>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1260</t>
    </r>
  </si>
  <si>
    <t>2026.03.18</t>
  </si>
  <si>
    <t>0191</t>
  </si>
  <si>
    <t>0374</t>
  </si>
  <si>
    <t>0192</t>
  </si>
  <si>
    <r>
      <rPr>
        <sz val="9"/>
        <color theme="1"/>
        <rFont val="Times New Roman"/>
        <charset val="134"/>
      </rPr>
      <t>2026.03.18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</si>
  <si>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</si>
  <si>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</si>
  <si>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-11</t>
    </r>
  </si>
  <si>
    <t>0375</t>
  </si>
  <si>
    <t>0257</t>
  </si>
  <si>
    <t>2026.03.19
AM 08:00~09:00
PM 16:00~17:00</t>
  </si>
  <si>
    <t>2026.03.19
AM 09:00~10:00
PM 17:00~18:00</t>
  </si>
  <si>
    <r>
      <rPr>
        <sz val="9"/>
        <color theme="1"/>
        <rFont val="Times New Roman"/>
        <charset val="134"/>
      </rPr>
      <t>2026.03.19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</si>
  <si>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1400</t>
    </r>
  </si>
  <si>
    <t>2026.03.19</t>
  </si>
  <si>
    <t>0193</t>
  </si>
  <si>
    <t>0376</t>
  </si>
  <si>
    <t>0194</t>
  </si>
  <si>
    <r>
      <rPr>
        <sz val="9"/>
        <color theme="1"/>
        <rFont val="Times New Roman"/>
        <charset val="134"/>
      </rPr>
      <t>2026.03.19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</si>
  <si>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</si>
  <si>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-12</t>
    </r>
  </si>
  <si>
    <t>0377</t>
  </si>
  <si>
    <t>0259</t>
  </si>
  <si>
    <t>2026.03.20
AM 08:00~09:00
PM 16:00~17:00</t>
  </si>
  <si>
    <t>2026.03.20
AM 09:00~10:00
PM 17:00~18:00</t>
  </si>
  <si>
    <r>
      <rPr>
        <sz val="9"/>
        <color theme="1"/>
        <rFont val="Times New Roman"/>
        <charset val="134"/>
      </rPr>
      <t>2026.03.20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</si>
  <si>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1540</t>
    </r>
  </si>
  <si>
    <t>2026.03.20</t>
  </si>
  <si>
    <t>0378</t>
  </si>
  <si>
    <r>
      <rPr>
        <sz val="9"/>
        <color theme="1"/>
        <rFont val="Times New Roman"/>
        <charset val="134"/>
      </rPr>
      <t>2026.03.20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</si>
  <si>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2026.03.20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</si>
  <si>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</si>
  <si>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-13</t>
    </r>
  </si>
  <si>
    <t>0261</t>
  </si>
  <si>
    <t>0379</t>
  </si>
  <si>
    <t>2026.03.21
AM 08:00~09:00
PM 16:00~17:00</t>
  </si>
  <si>
    <t>2026.03.21
AM 09:00~10:00
PM 17:00~18:00</t>
  </si>
  <si>
    <r>
      <rPr>
        <sz val="9"/>
        <color theme="1"/>
        <rFont val="Times New Roman"/>
        <charset val="134"/>
      </rPr>
      <t>2026.03.21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</si>
  <si>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1680</t>
    </r>
  </si>
  <si>
    <t>2026.03.21</t>
  </si>
  <si>
    <t>0380</t>
  </si>
  <si>
    <r>
      <rPr>
        <sz val="9"/>
        <color theme="1"/>
        <rFont val="Times New Roman"/>
        <charset val="134"/>
      </rPr>
      <t>2026.03.21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</si>
  <si>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2026.03.21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</si>
  <si>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-14</t>
    </r>
  </si>
  <si>
    <t>0263</t>
  </si>
  <si>
    <t>0381</t>
  </si>
  <si>
    <t>2026.03.22
AM 08:00~09:00
PM 16:00~17:00</t>
  </si>
  <si>
    <t>2026.03.22
AM 09:00~10:00
PM 17:00~18:00</t>
  </si>
  <si>
    <r>
      <rPr>
        <sz val="9"/>
        <color theme="1"/>
        <rFont val="Times New Roman"/>
        <charset val="134"/>
      </rPr>
      <t>2026.03.22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</si>
  <si>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1820</t>
    </r>
  </si>
  <si>
    <t>2026.03.22</t>
  </si>
  <si>
    <t>0382</t>
  </si>
  <si>
    <r>
      <rPr>
        <sz val="9"/>
        <color theme="1"/>
        <rFont val="Times New Roman"/>
        <charset val="134"/>
      </rPr>
      <t>2026.03.22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</si>
  <si>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2026.03.22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</si>
  <si>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-15</t>
    </r>
  </si>
  <si>
    <t>0383</t>
  </si>
  <si>
    <t>0265</t>
  </si>
  <si>
    <t>2026.03.23
AM 08:00~09:00
PM 16:00~17:00</t>
  </si>
  <si>
    <t>2026.03.23
AM 09:00~10:00
PM 17:00~18:00</t>
  </si>
  <si>
    <r>
      <rPr>
        <sz val="9"/>
        <color theme="1"/>
        <rFont val="Times New Roman"/>
        <charset val="134"/>
      </rPr>
      <t>2026.03.23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</si>
  <si>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1960</t>
    </r>
  </si>
  <si>
    <t>2026.03.23</t>
  </si>
  <si>
    <t>0384</t>
  </si>
  <si>
    <r>
      <rPr>
        <sz val="9"/>
        <color theme="1"/>
        <rFont val="Times New Roman"/>
        <charset val="134"/>
      </rP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</si>
  <si>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</si>
  <si>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</si>
  <si>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-16</t>
    </r>
  </si>
  <si>
    <t>0385</t>
  </si>
  <si>
    <r>
      <rPr>
        <sz val="9"/>
        <color theme="1"/>
        <rFont val="Times New Roman"/>
        <charset val="134"/>
      </rP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</si>
  <si>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</si>
  <si>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0267</t>
  </si>
  <si>
    <t>2026.03.24
AM 08:00~09:00
PM 16:00~17:00</t>
  </si>
  <si>
    <t>2026.03.24
AM 09:00~10:00
PM 17:00~18:00</t>
  </si>
  <si>
    <r>
      <rPr>
        <sz val="9"/>
        <color theme="1"/>
        <rFont val="Times New Roman"/>
        <charset val="134"/>
      </rPr>
      <t>2026.03.24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</si>
  <si>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2100</t>
    </r>
  </si>
  <si>
    <t>2026.03.24</t>
  </si>
  <si>
    <t>0203</t>
  </si>
  <si>
    <t>0386</t>
  </si>
  <si>
    <t>0204</t>
  </si>
  <si>
    <r>
      <rPr>
        <sz val="9"/>
        <color theme="1"/>
        <rFont val="Times New Roman"/>
        <charset val="134"/>
      </rP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</si>
  <si>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</si>
  <si>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</si>
  <si>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-17</t>
    </r>
  </si>
  <si>
    <t>0269</t>
  </si>
  <si>
    <r>
      <rPr>
        <sz val="9"/>
        <color theme="1"/>
        <rFont val="Times New Roman"/>
        <charset val="134"/>
      </rP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</si>
  <si>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</si>
  <si>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0387</t>
  </si>
  <si>
    <t>2026.03.25
AM 08:00~09:00
PM 16:00~17:00</t>
  </si>
  <si>
    <t>2026.03.25
AM 09:00~10:00
PM 17:00~18:00</t>
  </si>
  <si>
    <r>
      <rPr>
        <sz val="9"/>
        <color theme="1"/>
        <rFont val="Times New Roman"/>
        <charset val="134"/>
      </rPr>
      <t>2026.03.25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</si>
  <si>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2240</t>
    </r>
  </si>
  <si>
    <t>2026.03.25</t>
  </si>
  <si>
    <t>0205</t>
  </si>
  <si>
    <t>0388</t>
  </si>
  <si>
    <t>0206</t>
  </si>
  <si>
    <r>
      <rPr>
        <sz val="9"/>
        <color theme="1"/>
        <rFont val="Times New Roman"/>
        <charset val="134"/>
      </rP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</si>
  <si>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</si>
  <si>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-18</t>
    </r>
  </si>
  <si>
    <t>0271</t>
  </si>
  <si>
    <r>
      <rPr>
        <sz val="9"/>
        <color theme="1"/>
        <rFont val="Times New Roman"/>
        <charset val="134"/>
      </rP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</si>
  <si>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0389</t>
  </si>
  <si>
    <t>2026.03.26
AM 08:00~09:00
PM 16:00~17:00</t>
  </si>
  <si>
    <t>2026.03.26
AM 09:00~10:00
PM 17:00~18:00</t>
  </si>
  <si>
    <r>
      <rPr>
        <sz val="9"/>
        <color theme="1"/>
        <rFont val="Times New Roman"/>
        <charset val="134"/>
      </rPr>
      <t>2026.03.26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</si>
  <si>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2380</t>
    </r>
  </si>
  <si>
    <t>2026.03.26</t>
  </si>
  <si>
    <t>0207</t>
  </si>
  <si>
    <t>0390</t>
  </si>
  <si>
    <t>0208</t>
  </si>
  <si>
    <r>
      <rPr>
        <sz val="9"/>
        <color theme="1"/>
        <rFont val="Times New Roman"/>
        <charset val="134"/>
      </rP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</si>
  <si>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</si>
  <si>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-19</t>
    </r>
  </si>
  <si>
    <t>0391</t>
  </si>
  <si>
    <r>
      <rPr>
        <sz val="9"/>
        <color theme="1"/>
        <rFont val="Times New Roman"/>
        <charset val="134"/>
      </rP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</si>
  <si>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0273</t>
  </si>
  <si>
    <t>2026.03.27
AM 08:00~09:00
PM 16:00~17:00</t>
  </si>
  <si>
    <t>2026.03.27
AM 09:00~10:00
PM 17:00~18:00</t>
  </si>
  <si>
    <r>
      <rPr>
        <sz val="9"/>
        <color theme="1"/>
        <rFont val="Times New Roman"/>
        <charset val="134"/>
      </rPr>
      <t>2026.03.27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</si>
  <si>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2520</t>
    </r>
  </si>
  <si>
    <t>2026.03.27</t>
  </si>
  <si>
    <t>0209</t>
  </si>
  <si>
    <t>0392</t>
  </si>
  <si>
    <t>0210</t>
  </si>
  <si>
    <r>
      <rPr>
        <sz val="9"/>
        <color theme="1"/>
        <rFont val="Times New Roman"/>
        <charset val="134"/>
      </rP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</si>
  <si>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</si>
  <si>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-20</t>
    </r>
  </si>
  <si>
    <t>0393</t>
  </si>
  <si>
    <r>
      <rPr>
        <sz val="9"/>
        <color theme="1"/>
        <rFont val="Times New Roman"/>
        <charset val="134"/>
      </rP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</si>
  <si>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0275</t>
  </si>
  <si>
    <t>2026.03.28
AM 08:00~09:00
PM 16:00~17:00</t>
  </si>
  <si>
    <t>2026.03.28
AM 09:00~10:00
PM 17:00~18:00</t>
  </si>
  <si>
    <r>
      <rPr>
        <sz val="9"/>
        <color theme="1"/>
        <rFont val="Times New Roman"/>
        <charset val="134"/>
      </rPr>
      <t>2026.03.28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</si>
  <si>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2660</t>
    </r>
  </si>
  <si>
    <t>2026.03.28</t>
  </si>
  <si>
    <t>0276</t>
  </si>
  <si>
    <t>0211</t>
  </si>
  <si>
    <t>0394</t>
  </si>
  <si>
    <t>0212</t>
  </si>
  <si>
    <t>2026.03.29
AM 08:00~09:00
PM 16:00~17:00</t>
  </si>
  <si>
    <t>2026.03.29
AM 09:00~10:00
PM 17:00~18:00</t>
  </si>
  <si>
    <r>
      <rPr>
        <sz val="9"/>
        <color theme="1"/>
        <rFont val="Times New Roman"/>
        <charset val="134"/>
      </rPr>
      <t>2026.03.29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</si>
  <si>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2800</t>
    </r>
  </si>
  <si>
    <t>2026.03.29</t>
  </si>
  <si>
    <t>0213</t>
  </si>
  <si>
    <t>0396</t>
  </si>
  <si>
    <t>0214</t>
  </si>
  <si>
    <t>2026.03.30
08:30~10:30</t>
  </si>
  <si>
    <t>2026.03.30
11:00~13:00</t>
  </si>
  <si>
    <t>2026.03.30
14:00~15:00</t>
  </si>
  <si>
    <t>2026.03.30
15:30~16:30</t>
  </si>
  <si>
    <r>
      <rPr>
        <sz val="9"/>
        <color theme="1"/>
        <rFont val="Times New Roman"/>
        <charset val="134"/>
      </rPr>
      <t>2026.03.30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17:00, CN500 RUN1*1</t>
    </r>
  </si>
  <si>
    <r>
      <rPr>
        <sz val="9"/>
        <color theme="1"/>
        <rFont val="宋体"/>
        <charset val="134"/>
      </rPr>
      <t>不同提取试剂盒检出限：</t>
    </r>
    <r>
      <rPr>
        <sz val="9"/>
        <color theme="1"/>
        <rFont val="Times New Roman"/>
        <charset val="134"/>
      </rPr>
      <t xml:space="preserve">
CN500</t>
    </r>
    <r>
      <rPr>
        <sz val="9"/>
        <color theme="1"/>
        <rFont val="宋体"/>
        <charset val="134"/>
      </rPr>
      <t>跑</t>
    </r>
    <r>
      <rPr>
        <sz val="9"/>
        <color theme="1"/>
        <rFont val="Times New Roman"/>
        <charset val="134"/>
      </rPr>
      <t>20*1=20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20</t>
    </r>
  </si>
  <si>
    <r>
      <rPr>
        <b/>
        <sz val="9"/>
        <color theme="1"/>
        <rFont val="宋体"/>
        <charset val="134"/>
      </rPr>
      <t>不同提取试剂盒检出限：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方法：按大类挑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例高于检测限</t>
    </r>
    <r>
      <rPr>
        <sz val="9"/>
        <color theme="1"/>
        <rFont val="Times New Roman"/>
        <charset val="134"/>
      </rPr>
      <t>3~5</t>
    </r>
    <r>
      <rPr>
        <sz val="9"/>
        <color theme="1"/>
        <rFont val="宋体"/>
        <charset val="134"/>
      </rPr>
      <t>倍的样本，不重复。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接受标准：两个试剂，全部检出。</t>
    </r>
    <r>
      <rPr>
        <sz val="9"/>
        <color theme="1"/>
        <rFont val="Times New Roman"/>
        <charset val="134"/>
      </rPr>
      <t xml:space="preserve">
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个提取试剂盒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1</t>
    </r>
  </si>
  <si>
    <t>2026.03.30</t>
  </si>
  <si>
    <r>
      <rPr>
        <sz val="9"/>
        <color theme="1"/>
        <rFont val="Times New Roman"/>
        <charset val="134"/>
      </rPr>
      <t>2026.03.30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17:00, CN500 RUN1*2</t>
    </r>
  </si>
  <si>
    <r>
      <rPr>
        <sz val="9"/>
        <color theme="1"/>
        <rFont val="宋体"/>
        <charset val="134"/>
      </rPr>
      <t>抗干扰能力：</t>
    </r>
    <r>
      <rPr>
        <sz val="9"/>
        <color theme="1"/>
        <rFont val="Times New Roman"/>
        <charset val="134"/>
      </rPr>
      <t xml:space="preserve">
CN500</t>
    </r>
    <r>
      <rPr>
        <sz val="9"/>
        <color theme="1"/>
        <rFont val="宋体"/>
        <charset val="134"/>
      </rPr>
      <t>跑</t>
    </r>
    <r>
      <rPr>
        <sz val="9"/>
        <color theme="1"/>
        <rFont val="Times New Roman"/>
        <charset val="134"/>
      </rPr>
      <t>20*1=40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40</t>
    </r>
  </si>
  <si>
    <r>
      <rPr>
        <b/>
        <sz val="9"/>
        <color theme="1"/>
        <rFont val="宋体"/>
        <charset val="134"/>
      </rPr>
      <t>抗干扰能力：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方法：按大类挑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例高于检测限</t>
    </r>
    <r>
      <rPr>
        <sz val="9"/>
        <color theme="1"/>
        <rFont val="Times New Roman"/>
        <charset val="134"/>
      </rPr>
      <t>3~5</t>
    </r>
    <r>
      <rPr>
        <sz val="9"/>
        <color theme="1"/>
        <rFont val="宋体"/>
        <charset val="134"/>
      </rPr>
      <t>倍的样本，不重复。干扰项加粘蛋白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抗生素（按大类，每种各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个，约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种）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接受标准：两个试剂，全部检出。</t>
    </r>
    <r>
      <rPr>
        <sz val="9"/>
        <color theme="1"/>
        <rFont val="Times New Roman"/>
        <charset val="134"/>
      </rPr>
      <t xml:space="preserve">
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种处理（对照，干扰两组）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个提取试剂盒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</si>
  <si>
    <t>0215</t>
  </si>
  <si>
    <t>实验项目</t>
  </si>
  <si>
    <r>
      <t>芯片</t>
    </r>
    <r>
      <rPr>
        <b/>
        <sz val="9"/>
        <rFont val="Times New Roman"/>
        <charset val="134"/>
      </rPr>
      <t>SN</t>
    </r>
  </si>
  <si>
    <t>F0020-分析性能-污染的控制措施</t>
  </si>
  <si>
    <t>260113_TPNB500477_0143_AXXXXXXXXX</t>
  </si>
  <si>
    <t>260113_NDX551406_RUO_0278_AXXXXXXXXX</t>
  </si>
  <si>
    <t>260114_TPNB500477_0144_AXXXXXXXXX</t>
  </si>
  <si>
    <t>260114_NDX551406_RUO_0280_AXXXXXXXXX</t>
  </si>
  <si>
    <t>260115_TPNB500477_0145_AXXXXXXXXX</t>
  </si>
  <si>
    <t>260115_NDX551406_RUO_0282_AXXXXXXXXX</t>
  </si>
  <si>
    <r>
      <rPr>
        <sz val="9"/>
        <color theme="1"/>
        <rFont val="宋体"/>
        <charset val="134"/>
      </rPr>
      <t>芯片</t>
    </r>
  </si>
  <si>
    <r>
      <rPr>
        <sz val="9"/>
        <color theme="1"/>
        <rFont val="宋体"/>
        <charset val="134"/>
      </rPr>
      <t>芯片数据量</t>
    </r>
  </si>
  <si>
    <r>
      <rPr>
        <sz val="9"/>
        <color theme="1"/>
        <rFont val="宋体"/>
        <charset val="134"/>
      </rPr>
      <t>上机时间</t>
    </r>
  </si>
  <si>
    <t>上机时间</t>
  </si>
  <si>
    <r>
      <rPr>
        <sz val="9"/>
        <color theme="1"/>
        <rFont val="宋体"/>
        <charset val="134"/>
      </rPr>
      <t>分析时间</t>
    </r>
  </si>
  <si>
    <r>
      <rPr>
        <sz val="9"/>
        <color theme="1"/>
        <rFont val="宋体"/>
        <charset val="134"/>
      </rPr>
      <t>样本名称</t>
    </r>
  </si>
  <si>
    <t>文库编号</t>
  </si>
  <si>
    <t>index</t>
  </si>
  <si>
    <t>Clean Reads</t>
  </si>
  <si>
    <t>≥Q20%</t>
  </si>
  <si>
    <t>Q30</t>
  </si>
  <si>
    <r>
      <rPr>
        <sz val="9"/>
        <color rgb="FF000000"/>
        <rFont val="宋体"/>
        <charset val="134"/>
      </rPr>
      <t>内部对照</t>
    </r>
    <r>
      <rPr>
        <sz val="9"/>
        <color rgb="FFFF0000"/>
        <rFont val="Times New Roman"/>
        <charset val="134"/>
      </rPr>
      <t>spike.1</t>
    </r>
    <r>
      <rPr>
        <sz val="9"/>
        <color rgb="FF000000"/>
        <rFont val="Times New Roman"/>
        <charset val="134"/>
      </rPr>
      <t>RPM</t>
    </r>
    <r>
      <rPr>
        <sz val="9"/>
        <color rgb="FF000000"/>
        <rFont val="宋体"/>
        <charset val="134"/>
      </rPr>
      <t>值</t>
    </r>
  </si>
  <si>
    <r>
      <rPr>
        <sz val="9"/>
        <color rgb="FF000000"/>
        <rFont val="宋体"/>
        <charset val="134"/>
      </rPr>
      <t>物种名称</t>
    </r>
  </si>
  <si>
    <r>
      <rPr>
        <b/>
        <sz val="9"/>
        <color rgb="FF000000"/>
        <rFont val="宋体"/>
        <charset val="134"/>
      </rPr>
      <t>分类</t>
    </r>
  </si>
  <si>
    <t>taxid</t>
  </si>
  <si>
    <t>RC</t>
  </si>
  <si>
    <t>RA</t>
  </si>
  <si>
    <t>rpm</t>
  </si>
  <si>
    <t>uniq rpm</t>
  </si>
  <si>
    <t>coverage</t>
  </si>
  <si>
    <t>abundance</t>
  </si>
  <si>
    <r>
      <rPr>
        <sz val="9"/>
        <color rgb="FF000000"/>
        <rFont val="宋体"/>
        <charset val="134"/>
      </rPr>
      <t>标准</t>
    </r>
  </si>
  <si>
    <r>
      <rPr>
        <sz val="9"/>
        <color rgb="FF000000"/>
        <rFont val="宋体"/>
        <charset val="134"/>
      </rPr>
      <t>参照背景</t>
    </r>
  </si>
  <si>
    <t>420M</t>
  </si>
  <si>
    <t>晚</t>
  </si>
  <si>
    <t>F-F0020-01</t>
  </si>
  <si>
    <t>F-F0020-01-477-A01-20260113</t>
  </si>
  <si>
    <t>A01</t>
  </si>
  <si>
    <r>
      <rPr>
        <sz val="9"/>
        <color theme="1"/>
        <rFont val="宋体"/>
        <charset val="134"/>
      </rPr>
      <t>肺炎支原体</t>
    </r>
  </si>
  <si>
    <t>F-F0020-02</t>
  </si>
  <si>
    <t>F-F0020-02-477-A02-20260113</t>
  </si>
  <si>
    <t>A02</t>
  </si>
  <si>
    <r>
      <rPr>
        <sz val="9"/>
        <color theme="1"/>
        <rFont val="宋体"/>
        <charset val="134"/>
      </rPr>
      <t>人疱疹病毒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型</t>
    </r>
    <r>
      <rPr>
        <sz val="9"/>
        <color theme="1"/>
        <rFont val="Times New Roman"/>
        <charset val="134"/>
      </rPr>
      <t>(CMV)</t>
    </r>
  </si>
  <si>
    <t>F-F0020-03</t>
  </si>
  <si>
    <t>F-F0020-03-477-A03-20260113</t>
  </si>
  <si>
    <t>A03</t>
  </si>
  <si>
    <r>
      <rPr>
        <sz val="9"/>
        <color theme="1"/>
        <rFont val="宋体"/>
        <charset val="134"/>
      </rPr>
      <t>铜绿假单胞菌</t>
    </r>
  </si>
  <si>
    <t>F-F0020-04</t>
  </si>
  <si>
    <t>F-F0020-04-477-A04-20260113</t>
  </si>
  <si>
    <t>A04</t>
  </si>
  <si>
    <r>
      <rPr>
        <sz val="9"/>
        <color theme="1"/>
        <rFont val="宋体"/>
        <charset val="134"/>
      </rPr>
      <t>烟曲霉</t>
    </r>
  </si>
  <si>
    <t>F-F0020-05</t>
  </si>
  <si>
    <t>F-F0020-05-477-A05-20260113</t>
  </si>
  <si>
    <t>A05</t>
  </si>
  <si>
    <r>
      <rPr>
        <sz val="9"/>
        <color theme="1"/>
        <rFont val="宋体"/>
        <charset val="134"/>
      </rPr>
      <t>耶氏肺孢子菌</t>
    </r>
  </si>
  <si>
    <t>F-F0020-06</t>
  </si>
  <si>
    <t>F-F0020-06-477-A06-20260113</t>
  </si>
  <si>
    <t>A06</t>
  </si>
  <si>
    <t>F-F0020-07</t>
  </si>
  <si>
    <t>F-F0020-07-477-A07-20260113</t>
  </si>
  <si>
    <t>A07</t>
  </si>
  <si>
    <t>F-F0020-08</t>
  </si>
  <si>
    <t>F-F0020-08-477-A08-20260113</t>
  </si>
  <si>
    <t>A08</t>
  </si>
  <si>
    <t>F-F0020-09</t>
  </si>
  <si>
    <t>F-F0020-09-477-A09-20260113</t>
  </si>
  <si>
    <t>A09</t>
  </si>
  <si>
    <t>F-F0020-10</t>
  </si>
  <si>
    <t>F-F0020-10-477-A10-20260113</t>
  </si>
  <si>
    <t>A10</t>
  </si>
  <si>
    <t>F-F0020-11</t>
  </si>
  <si>
    <t>F-F0020-11-477-A11-20260113</t>
  </si>
  <si>
    <t>A11</t>
  </si>
  <si>
    <t>F-F0020-12</t>
  </si>
  <si>
    <t>F-F0020-12-477-A12-20260113</t>
  </si>
  <si>
    <t>A12</t>
  </si>
  <si>
    <t>F-F0020-13</t>
  </si>
  <si>
    <t>F-F0020-13-477-A13-20260113</t>
  </si>
  <si>
    <t>A13</t>
  </si>
  <si>
    <t>F-F0020-14</t>
  </si>
  <si>
    <t>F-F0020-14-477-A14-20260113</t>
  </si>
  <si>
    <t>A14</t>
  </si>
  <si>
    <t>F-F0020-15</t>
  </si>
  <si>
    <t>F-F0020-15-477-A15-20260113</t>
  </si>
  <si>
    <t>A15</t>
  </si>
  <si>
    <t>F-F0020-16</t>
  </si>
  <si>
    <t>F-F0020-16-477-A16-20260113</t>
  </si>
  <si>
    <t>A16</t>
  </si>
  <si>
    <t>F-F0020-17</t>
  </si>
  <si>
    <t>F-F0020-17-477-A17-20260113</t>
  </si>
  <si>
    <t>A17</t>
  </si>
  <si>
    <t>F-F0020-18</t>
  </si>
  <si>
    <t>F-F0020-18-477-A18-20260113</t>
  </si>
  <si>
    <t>A18</t>
  </si>
  <si>
    <t>F-F0020-19</t>
  </si>
  <si>
    <t>F-F0020-19-477-A19-20260113</t>
  </si>
  <si>
    <t>A19</t>
  </si>
  <si>
    <t>F-F0020-20</t>
  </si>
  <si>
    <t>F-F0020-20-477-A20-20260113</t>
  </si>
  <si>
    <t>A20</t>
  </si>
  <si>
    <t>F-F0020-21</t>
  </si>
  <si>
    <t>F-F0020-21-477-A21-20260113</t>
  </si>
  <si>
    <t>A21</t>
  </si>
  <si>
    <t>F-F0020-22</t>
  </si>
  <si>
    <t>F-F0020-22-477-A22-20260113</t>
  </si>
  <si>
    <t>A22</t>
  </si>
  <si>
    <t>F-F0020-23</t>
  </si>
  <si>
    <t>F-F0020-23-477-A23-20260113</t>
  </si>
  <si>
    <t>A23</t>
  </si>
  <si>
    <t>F-F0020-24</t>
  </si>
  <si>
    <t>F-F0020-24-477-A24-20260113</t>
  </si>
  <si>
    <t>A24</t>
  </si>
  <si>
    <t>F-F0020-25</t>
  </si>
  <si>
    <t>F-F0020-25-477-A25-20260113</t>
  </si>
  <si>
    <t>A25</t>
  </si>
  <si>
    <t>F-F0020-26</t>
  </si>
  <si>
    <t>F-F0020-26-477-A26-20260113</t>
  </si>
  <si>
    <t>A26</t>
  </si>
  <si>
    <t>F-F0020-27</t>
  </si>
  <si>
    <t>F-F0020-27-477-A27-20260113</t>
  </si>
  <si>
    <t>A27</t>
  </si>
  <si>
    <t>F-F0020-28</t>
  </si>
  <si>
    <t>F-F0020-28-477-A28-20260113</t>
  </si>
  <si>
    <t>A28</t>
  </si>
  <si>
    <t>F-F0020-29</t>
  </si>
  <si>
    <t>F-F0020-29-477-A29-20260113</t>
  </si>
  <si>
    <t>A29</t>
  </si>
  <si>
    <t>F-F0020-30</t>
  </si>
  <si>
    <t>F-F0020-30-477-A30-20260113</t>
  </si>
  <si>
    <t>A30</t>
  </si>
  <si>
    <t>F-PC</t>
  </si>
  <si>
    <t>F-PC-477-A31-20260113</t>
  </si>
  <si>
    <t>A31</t>
  </si>
  <si>
    <r>
      <rPr>
        <sz val="9"/>
        <color rgb="FF000000"/>
        <rFont val="宋体"/>
        <charset val="134"/>
      </rPr>
      <t>铜绿假单胞菌</t>
    </r>
  </si>
  <si>
    <t>F-NC</t>
  </si>
  <si>
    <t>F-NC-477-A32-20260113</t>
  </si>
  <si>
    <r>
      <rPr>
        <sz val="9"/>
        <color rgb="FF000000"/>
        <rFont val="宋体"/>
        <charset val="134"/>
      </rPr>
      <t>金黄色葡萄球菌</t>
    </r>
  </si>
  <si>
    <t>F-F0020-CN-PC</t>
  </si>
  <si>
    <t>F-F0020-CN-PC-A31-20260113</t>
  </si>
  <si>
    <r>
      <rPr>
        <sz val="9"/>
        <color rgb="FF000000"/>
        <rFont val="宋体"/>
        <charset val="134"/>
      </rPr>
      <t>流感嗜血杆菌</t>
    </r>
  </si>
  <si>
    <r>
      <rPr>
        <sz val="9"/>
        <color rgb="FF000000"/>
        <rFont val="宋体"/>
        <charset val="134"/>
      </rPr>
      <t>堪萨斯分枝杆菌</t>
    </r>
  </si>
  <si>
    <r>
      <rPr>
        <sz val="9"/>
        <color rgb="FF000000"/>
        <rFont val="宋体"/>
        <charset val="134"/>
      </rPr>
      <t>肺炎链球菌</t>
    </r>
  </si>
  <si>
    <r>
      <rPr>
        <sz val="9"/>
        <color rgb="FF000000"/>
        <rFont val="宋体"/>
        <charset val="134"/>
      </rPr>
      <t>嗜肺军团菌</t>
    </r>
  </si>
  <si>
    <r>
      <rPr>
        <sz val="9"/>
        <color rgb="FF000000"/>
        <rFont val="宋体"/>
        <charset val="134"/>
      </rPr>
      <t>屎肠球菌</t>
    </r>
  </si>
  <si>
    <r>
      <rPr>
        <sz val="9"/>
        <color rgb="FF000000"/>
        <rFont val="宋体"/>
        <charset val="134"/>
      </rPr>
      <t>鲍曼不动杆菌</t>
    </r>
  </si>
  <si>
    <r>
      <rPr>
        <sz val="9"/>
        <color rgb="FF000000"/>
        <rFont val="宋体"/>
        <charset val="134"/>
      </rPr>
      <t>肺炎克雷伯菌</t>
    </r>
  </si>
  <si>
    <r>
      <rPr>
        <sz val="9"/>
        <color rgb="FF000000"/>
        <rFont val="宋体"/>
        <charset val="134"/>
      </rPr>
      <t>皮疽诺卡菌</t>
    </r>
  </si>
  <si>
    <r>
      <rPr>
        <sz val="9"/>
        <color rgb="FF000000"/>
        <rFont val="宋体"/>
        <charset val="134"/>
      </rPr>
      <t>烟曲霉</t>
    </r>
  </si>
  <si>
    <r>
      <rPr>
        <sz val="9"/>
        <color rgb="FF000000"/>
        <rFont val="宋体"/>
        <charset val="134"/>
      </rPr>
      <t>热带念珠菌</t>
    </r>
  </si>
  <si>
    <r>
      <rPr>
        <sz val="9"/>
        <color rgb="FF000000"/>
        <rFont val="宋体"/>
        <charset val="134"/>
      </rPr>
      <t>新型隐球菌新生变种</t>
    </r>
  </si>
  <si>
    <r>
      <rPr>
        <sz val="9"/>
        <color rgb="FF000000"/>
        <rFont val="宋体"/>
        <charset val="134"/>
      </rPr>
      <t>微小根毛霉</t>
    </r>
  </si>
  <si>
    <r>
      <rPr>
        <sz val="9"/>
        <color rgb="FF000000"/>
        <rFont val="宋体"/>
        <charset val="134"/>
      </rPr>
      <t>马尔尼菲篮状菌</t>
    </r>
  </si>
  <si>
    <r>
      <rPr>
        <sz val="9"/>
        <color rgb="FF000000"/>
        <rFont val="宋体"/>
        <charset val="134"/>
      </rPr>
      <t>人疱疹病毒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宋体"/>
        <charset val="134"/>
      </rPr>
      <t>型</t>
    </r>
    <r>
      <rPr>
        <sz val="9"/>
        <color rgb="FF000000"/>
        <rFont val="Times New Roman"/>
        <charset val="134"/>
      </rPr>
      <t>(CMV)</t>
    </r>
  </si>
  <si>
    <r>
      <rPr>
        <sz val="9"/>
        <color theme="1"/>
        <rFont val="宋体"/>
        <charset val="134"/>
      </rPr>
      <t>人腺病毒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组</t>
    </r>
  </si>
  <si>
    <r>
      <rPr>
        <sz val="9"/>
        <color rgb="FF000000"/>
        <rFont val="宋体"/>
        <charset val="134"/>
      </rPr>
      <t>博卡病毒属</t>
    </r>
  </si>
  <si>
    <r>
      <rPr>
        <sz val="9"/>
        <color rgb="FF000000"/>
        <rFont val="宋体"/>
        <charset val="134"/>
      </rPr>
      <t>肺炎支原体</t>
    </r>
  </si>
  <si>
    <r>
      <rPr>
        <sz val="9"/>
        <color rgb="FF000000"/>
        <rFont val="宋体"/>
        <charset val="134"/>
      </rPr>
      <t>肺炎衣原体</t>
    </r>
  </si>
  <si>
    <t>F-F0020-CN-NC</t>
  </si>
  <si>
    <t>F-F0020-CN-NC-A32-20260113</t>
  </si>
  <si>
    <t>A32</t>
  </si>
  <si>
    <r>
      <rPr>
        <sz val="9"/>
        <color rgb="FF000000"/>
        <rFont val="宋体"/>
        <charset val="134"/>
      </rPr>
      <t>细菌</t>
    </r>
  </si>
  <si>
    <t>50~100</t>
  </si>
  <si>
    <r>
      <rPr>
        <sz val="9"/>
        <color rgb="FF000000"/>
        <rFont val="宋体"/>
        <charset val="134"/>
      </rPr>
      <t>检出</t>
    </r>
  </si>
  <si>
    <r>
      <rPr>
        <sz val="9"/>
        <color theme="1"/>
        <rFont val="宋体"/>
        <charset val="134"/>
      </rPr>
      <t>人源细胞系</t>
    </r>
  </si>
  <si>
    <r>
      <rPr>
        <sz val="9"/>
        <color rgb="FF000000"/>
        <rFont val="宋体"/>
        <charset val="134"/>
      </rPr>
      <t>真菌</t>
    </r>
  </si>
  <si>
    <r>
      <rPr>
        <sz val="9"/>
        <color rgb="FF000000"/>
        <rFont val="宋体"/>
        <charset val="134"/>
      </rPr>
      <t>病毒</t>
    </r>
  </si>
  <si>
    <t>1~10</t>
  </si>
  <si>
    <r>
      <rPr>
        <sz val="9"/>
        <color rgb="FF000000"/>
        <rFont val="宋体"/>
        <charset val="134"/>
      </rPr>
      <t>不检出</t>
    </r>
  </si>
  <si>
    <t>编号规则</t>
  </si>
  <si>
    <t>示例</t>
  </si>
  <si>
    <t>样本名</t>
  </si>
  <si>
    <t>实验项目号-编号</t>
  </si>
  <si>
    <t>F-0020-01</t>
  </si>
  <si>
    <t>样本名-测序仪SN数字后三位)-接头号-日期</t>
  </si>
  <si>
    <t>F-WRKZ-1-477-A01-20260113</t>
  </si>
  <si>
    <t>研究编号-研究类别-研究说明</t>
  </si>
  <si>
    <t>芯片SN</t>
  </si>
  <si>
    <t>时间_测序仪SN_RUN值_AXXXXXXXXX</t>
  </si>
  <si>
    <t>接头</t>
  </si>
  <si>
    <t>A/Bxx（只有A或者B两种接头，每种接头有01-48一共48个接头）</t>
  </si>
  <si>
    <t>PC</t>
  </si>
  <si>
    <t>PC就是阳性质控品，PC一共有20种病原体，详见PC</t>
  </si>
  <si>
    <t>NC</t>
  </si>
  <si>
    <t>NC就是阴性质控品，PC一共有20种病原体，详见PC</t>
  </si>
  <si>
    <t>分类</t>
  </si>
  <si>
    <t>对应关系详见物种列表</t>
  </si>
  <si>
    <t>拉丁文</t>
  </si>
  <si>
    <t>序号</t>
  </si>
  <si>
    <t>名称</t>
  </si>
  <si>
    <t>阴阳性判断标准</t>
  </si>
  <si>
    <t>来源</t>
  </si>
  <si>
    <r>
      <rPr>
        <sz val="11"/>
        <color rgb="FF000000"/>
        <rFont val="宋体"/>
        <charset val="134"/>
      </rPr>
      <t>腺病毒属</t>
    </r>
  </si>
  <si>
    <r>
      <rPr>
        <sz val="11"/>
        <color rgb="FF000000"/>
        <rFont val="宋体"/>
        <charset val="134"/>
      </rPr>
      <t>病毒</t>
    </r>
  </si>
  <si>
    <t>Mastadenovirus</t>
  </si>
  <si>
    <r>
      <rPr>
        <sz val="11"/>
        <color theme="1"/>
        <rFont val="Times New Roman"/>
        <charset val="134"/>
      </rPr>
      <t>Reads</t>
    </r>
    <r>
      <rPr>
        <sz val="11"/>
        <color theme="1"/>
        <rFont val="宋体"/>
        <charset val="134"/>
      </rPr>
      <t>值</t>
    </r>
    <r>
      <rPr>
        <sz val="11"/>
        <color theme="1"/>
        <rFont val="Times New Roman"/>
        <charset val="134"/>
      </rPr>
      <t>≥3</t>
    </r>
    <r>
      <rPr>
        <sz val="11"/>
        <color theme="1"/>
        <rFont val="宋体"/>
        <charset val="134"/>
      </rPr>
      <t>为阳性，否则为阴性</t>
    </r>
  </si>
  <si>
    <t>说明书</t>
  </si>
  <si>
    <r>
      <rPr>
        <sz val="11"/>
        <color rgb="FF333333"/>
        <rFont val="宋体"/>
        <charset val="134"/>
      </rPr>
      <t>博卡病毒属</t>
    </r>
  </si>
  <si>
    <t>Bocaparvovirus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</si>
  <si>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宋体"/>
        <charset val="134"/>
      </rPr>
      <t>型</t>
    </r>
    <r>
      <rPr>
        <sz val="11"/>
        <color rgb="FF000000"/>
        <rFont val="Times New Roman"/>
        <charset val="134"/>
      </rPr>
      <t>(EB</t>
    </r>
    <r>
      <rPr>
        <sz val="11"/>
        <color rgb="FF000000"/>
        <rFont val="宋体"/>
        <charset val="134"/>
      </rPr>
      <t>病毒</t>
    </r>
    <r>
      <rPr>
        <sz val="11"/>
        <color rgb="FF000000"/>
        <rFont val="Times New Roman"/>
        <charset val="134"/>
      </rPr>
      <t>)</t>
    </r>
  </si>
  <si>
    <t>Human gammaherpesvirus 4 (Epstein-Barr virus)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</si>
  <si>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宋体"/>
        <charset val="134"/>
      </rPr>
      <t>型</t>
    </r>
  </si>
  <si>
    <t>Human alphaherpesvirus 1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</si>
  <si>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宋体"/>
        <charset val="134"/>
      </rPr>
      <t>型</t>
    </r>
    <r>
      <rPr>
        <sz val="11"/>
        <color rgb="FF000000"/>
        <rFont val="Times New Roman"/>
        <charset val="134"/>
      </rPr>
      <t>(CMV</t>
    </r>
    <r>
      <rPr>
        <sz val="11"/>
        <color rgb="FF000000"/>
        <rFont val="宋体"/>
        <charset val="134"/>
      </rPr>
      <t>)</t>
    </r>
  </si>
  <si>
    <t>Human betaherpesvirus 5 (cytomegalovirus)</t>
  </si>
  <si>
    <r>
      <rPr>
        <sz val="11"/>
        <color rgb="FF000000"/>
        <rFont val="宋体"/>
        <charset val="134"/>
      </rPr>
      <t>鹦鹉热衣原体</t>
    </r>
  </si>
  <si>
    <r>
      <rPr>
        <sz val="11"/>
        <color rgb="FF000000"/>
        <rFont val="宋体"/>
        <charset val="134"/>
      </rPr>
      <t>细菌</t>
    </r>
  </si>
  <si>
    <t>Chlamydia psittaci</t>
  </si>
  <si>
    <r>
      <rPr>
        <sz val="11"/>
        <color theme="1"/>
        <rFont val="Times New Roman"/>
        <charset val="134"/>
      </rPr>
      <t>Uniq RPM</t>
    </r>
    <r>
      <rPr>
        <sz val="11"/>
        <color theme="1"/>
        <rFont val="宋体"/>
        <charset val="134"/>
      </rPr>
      <t>值</t>
    </r>
    <r>
      <rPr>
        <sz val="11"/>
        <color theme="1"/>
        <rFont val="Times New Roman"/>
        <charset val="134"/>
      </rPr>
      <t>≥1</t>
    </r>
    <r>
      <rPr>
        <sz val="11"/>
        <color theme="1"/>
        <rFont val="宋体"/>
        <charset val="134"/>
      </rPr>
      <t>为阳性，否则为阴性</t>
    </r>
  </si>
  <si>
    <r>
      <rPr>
        <sz val="11"/>
        <color rgb="FF000000"/>
        <rFont val="宋体"/>
        <charset val="134"/>
      </rPr>
      <t>嗜肺军团菌</t>
    </r>
  </si>
  <si>
    <t>Legionella pneumophila</t>
  </si>
  <si>
    <r>
      <rPr>
        <sz val="11"/>
        <color rgb="FF000000"/>
        <rFont val="宋体"/>
        <charset val="134"/>
      </rPr>
      <t>马尔尼菲篮状菌</t>
    </r>
  </si>
  <si>
    <t>真菌</t>
  </si>
  <si>
    <t>Talaromyces marneffei</t>
  </si>
  <si>
    <r>
      <rPr>
        <sz val="11"/>
        <color rgb="FF000000"/>
        <rFont val="宋体"/>
        <charset val="134"/>
      </rPr>
      <t>肺炎衣原体</t>
    </r>
  </si>
  <si>
    <t>Chlamydia pneumoniae</t>
  </si>
  <si>
    <t>结核分枝杆菌复合群</t>
  </si>
  <si>
    <t>结核</t>
  </si>
  <si>
    <t>Mycobacterium tuberculosis complex</t>
  </si>
  <si>
    <r>
      <rPr>
        <sz val="11"/>
        <color rgb="FF000000"/>
        <rFont val="宋体"/>
        <charset val="134"/>
      </rPr>
      <t>鸟型分枝杆菌复合体</t>
    </r>
  </si>
  <si>
    <t>Mycobacterium avium complex (MAC)</t>
  </si>
  <si>
    <r>
      <rPr>
        <sz val="11"/>
        <color rgb="FF000000"/>
        <rFont val="宋体"/>
        <charset val="134"/>
      </rPr>
      <t>堪萨斯分枝杆菌</t>
    </r>
  </si>
  <si>
    <t>Mycobacterium kansasii</t>
  </si>
  <si>
    <r>
      <rPr>
        <sz val="11"/>
        <color rgb="FF000000"/>
        <rFont val="宋体"/>
        <charset val="134"/>
      </rPr>
      <t>脓肿分枝杆菌</t>
    </r>
  </si>
  <si>
    <t>Mycobacteroides abscessus</t>
  </si>
  <si>
    <r>
      <rPr>
        <sz val="11"/>
        <color rgb="FF000000"/>
        <rFont val="宋体"/>
        <charset val="134"/>
      </rPr>
      <t>屎肠球菌</t>
    </r>
  </si>
  <si>
    <t>Enterococcus faecium</t>
  </si>
  <si>
    <r>
      <rPr>
        <sz val="11"/>
        <color rgb="FF000000"/>
        <rFont val="宋体"/>
        <charset val="134"/>
      </rPr>
      <t>粪肠球菌</t>
    </r>
  </si>
  <si>
    <t>Enterococcus faecalis</t>
  </si>
  <si>
    <t>肺炎克雷伯菌</t>
  </si>
  <si>
    <t>Klebsiella pneumoniae</t>
  </si>
  <si>
    <r>
      <rPr>
        <sz val="11"/>
        <color rgb="FF000000"/>
        <rFont val="宋体"/>
        <charset val="134"/>
      </rPr>
      <t>金黄色葡萄球菌</t>
    </r>
  </si>
  <si>
    <t>Staphylococcus aureus</t>
  </si>
  <si>
    <r>
      <rPr>
        <sz val="11"/>
        <color rgb="FF000000"/>
        <rFont val="宋体"/>
        <charset val="134"/>
      </rPr>
      <t>鲍曼不动杆菌</t>
    </r>
  </si>
  <si>
    <t>Acinetobacter baumannii</t>
  </si>
  <si>
    <r>
      <rPr>
        <sz val="11"/>
        <color rgb="FF000000"/>
        <rFont val="宋体"/>
        <charset val="134"/>
      </rPr>
      <t>铜绿假单胞菌</t>
    </r>
  </si>
  <si>
    <t>Pseudomonas aeruginosa</t>
  </si>
  <si>
    <r>
      <rPr>
        <sz val="11"/>
        <color rgb="FF000000"/>
        <rFont val="宋体"/>
        <charset val="134"/>
      </rPr>
      <t>粘质沙雷菌</t>
    </r>
  </si>
  <si>
    <t>Serratia marcescens</t>
  </si>
  <si>
    <r>
      <rPr>
        <sz val="11"/>
        <color rgb="FF000000"/>
        <rFont val="宋体"/>
        <charset val="134"/>
      </rPr>
      <t>肺炎链球菌</t>
    </r>
  </si>
  <si>
    <t>Streptococcus pneumoniae</t>
  </si>
  <si>
    <r>
      <rPr>
        <sz val="11"/>
        <color rgb="FF000000"/>
        <rFont val="宋体"/>
        <charset val="134"/>
      </rPr>
      <t>产气克雷伯菌</t>
    </r>
  </si>
  <si>
    <t>Klebsiella aerogenes</t>
  </si>
  <si>
    <r>
      <rPr>
        <sz val="11"/>
        <color rgb="FF000000"/>
        <rFont val="宋体"/>
        <charset val="134"/>
      </rPr>
      <t>纹带棒状杆菌</t>
    </r>
  </si>
  <si>
    <t>Corynebacterium striatum</t>
  </si>
  <si>
    <r>
      <rPr>
        <sz val="11"/>
        <color rgb="FF000000"/>
        <rFont val="宋体"/>
        <charset val="134"/>
      </rPr>
      <t>奇异变形杆菌</t>
    </r>
  </si>
  <si>
    <t>Proteus mirabilis</t>
  </si>
  <si>
    <r>
      <rPr>
        <sz val="11"/>
        <color rgb="FF000000"/>
        <rFont val="宋体"/>
        <charset val="134"/>
      </rPr>
      <t>流感嗜血杆菌</t>
    </r>
  </si>
  <si>
    <t>Haemophilus influenzae</t>
  </si>
  <si>
    <r>
      <rPr>
        <sz val="11"/>
        <color rgb="FF000000"/>
        <rFont val="宋体"/>
        <charset val="134"/>
      </rPr>
      <t>阴沟肠杆菌</t>
    </r>
  </si>
  <si>
    <t>Enterobacter cloacae</t>
  </si>
  <si>
    <r>
      <rPr>
        <sz val="11"/>
        <color rgb="FF000000"/>
        <rFont val="宋体"/>
        <charset val="134"/>
      </rPr>
      <t>大肠埃希菌</t>
    </r>
  </si>
  <si>
    <t>Escherichia coli</t>
  </si>
  <si>
    <r>
      <rPr>
        <sz val="11"/>
        <color rgb="FF000000"/>
        <rFont val="宋体"/>
        <charset val="134"/>
      </rPr>
      <t>嗜麦芽窄食单胞菌</t>
    </r>
  </si>
  <si>
    <t>Stenotrophomonas maltophilia</t>
  </si>
  <si>
    <t>洋葱伯克霍尔德菌群</t>
  </si>
  <si>
    <t>Burkholderia cepacia complex</t>
  </si>
  <si>
    <r>
      <rPr>
        <sz val="11"/>
        <color rgb="FF000000"/>
        <rFont val="宋体"/>
        <charset val="134"/>
      </rPr>
      <t>卡他莫拉菌</t>
    </r>
  </si>
  <si>
    <t>Moraxella catarrhalis</t>
  </si>
  <si>
    <r>
      <rPr>
        <sz val="11"/>
        <color rgb="FF000000"/>
        <rFont val="宋体"/>
        <charset val="134"/>
      </rPr>
      <t>诺卡菌属</t>
    </r>
  </si>
  <si>
    <t>Nocardia</t>
  </si>
  <si>
    <r>
      <rPr>
        <sz val="11"/>
        <color rgb="FF000000"/>
        <rFont val="宋体"/>
        <charset val="134"/>
      </rPr>
      <t>脓肿诺卡菌</t>
    </r>
  </si>
  <si>
    <t>Nocardia abscessus</t>
  </si>
  <si>
    <r>
      <rPr>
        <sz val="11"/>
        <color theme="1"/>
        <rFont val="宋体"/>
        <charset val="134"/>
      </rPr>
      <t>说明书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子节点</t>
    </r>
  </si>
  <si>
    <t>华氏诺卡菌</t>
  </si>
  <si>
    <t>Nocardia wallacei</t>
  </si>
  <si>
    <r>
      <rPr>
        <sz val="11"/>
        <color rgb="FF000000"/>
        <rFont val="宋体"/>
        <charset val="134"/>
      </rPr>
      <t>皮疽诺卡菌</t>
    </r>
  </si>
  <si>
    <t>Nocardia farcinica</t>
  </si>
  <si>
    <r>
      <rPr>
        <sz val="11"/>
        <color rgb="FF000000"/>
        <rFont val="宋体"/>
        <charset val="134"/>
      </rPr>
      <t>豚鼠耳炎诺卡菌</t>
    </r>
  </si>
  <si>
    <t>Nocardia otitidiscaviarum</t>
  </si>
  <si>
    <r>
      <rPr>
        <sz val="11"/>
        <color rgb="FF000000"/>
        <rFont val="宋体"/>
        <charset val="134"/>
      </rPr>
      <t>惠普尔养障体</t>
    </r>
  </si>
  <si>
    <t>Tropheryma whipplei</t>
  </si>
  <si>
    <r>
      <rPr>
        <sz val="11"/>
        <color rgb="FF000000"/>
        <rFont val="宋体"/>
        <charset val="134"/>
      </rPr>
      <t>脑膜炎败血伊丽莎白菌</t>
    </r>
  </si>
  <si>
    <t>Elizabethkingia meningoseptica</t>
  </si>
  <si>
    <r>
      <rPr>
        <sz val="11"/>
        <color rgb="FF000000"/>
        <rFont val="宋体"/>
        <charset val="134"/>
      </rPr>
      <t>肺炎支原体</t>
    </r>
  </si>
  <si>
    <t>Mycoplasma pneumoniae</t>
  </si>
  <si>
    <r>
      <rPr>
        <sz val="11"/>
        <color rgb="FF000000"/>
        <rFont val="宋体"/>
        <charset val="134"/>
      </rPr>
      <t>新型隐球菌</t>
    </r>
  </si>
  <si>
    <r>
      <rPr>
        <sz val="11"/>
        <color rgb="FF000000"/>
        <rFont val="宋体"/>
        <charset val="134"/>
      </rPr>
      <t>真菌</t>
    </r>
  </si>
  <si>
    <t>Cryptococcus neoformans</t>
  </si>
  <si>
    <r>
      <rPr>
        <sz val="11"/>
        <color rgb="FF000000"/>
        <rFont val="宋体"/>
        <charset val="134"/>
      </rPr>
      <t>烟曲霉</t>
    </r>
  </si>
  <si>
    <t>Aspergillus fumigatus</t>
  </si>
  <si>
    <r>
      <rPr>
        <sz val="11"/>
        <color rgb="FF000000"/>
        <rFont val="宋体"/>
        <charset val="134"/>
      </rPr>
      <t>微小根毛霉</t>
    </r>
  </si>
  <si>
    <t>Rhizomucor pusillus</t>
  </si>
  <si>
    <r>
      <rPr>
        <sz val="11"/>
        <color rgb="FF000000"/>
        <rFont val="宋体"/>
        <charset val="134"/>
      </rPr>
      <t>耶氏肺孢子菌</t>
    </r>
  </si>
  <si>
    <t>Pneumocystis jirovecii</t>
  </si>
  <si>
    <t>热带念珠菌</t>
  </si>
  <si>
    <t>Candida tropicalis</t>
  </si>
  <si>
    <r>
      <rPr>
        <sz val="11"/>
        <color rgb="FF000000"/>
        <rFont val="宋体"/>
        <charset val="134"/>
      </rPr>
      <t>黄曲霉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米曲霉</t>
    </r>
  </si>
  <si>
    <t>Aspergillus flavus/Aspergillus oryzae</t>
  </si>
  <si>
    <r>
      <rPr>
        <sz val="11"/>
        <color rgb="FF000000"/>
        <rFont val="宋体"/>
        <charset val="134"/>
      </rPr>
      <t>黑曲霉</t>
    </r>
  </si>
  <si>
    <t>Aspergillus niger</t>
  </si>
  <si>
    <r>
      <rPr>
        <sz val="11"/>
        <color rgb="FF000000"/>
        <rFont val="宋体"/>
        <charset val="134"/>
      </rPr>
      <t>土曲霉</t>
    </r>
  </si>
  <si>
    <t>Aspergillus terreus</t>
  </si>
  <si>
    <r>
      <rPr>
        <sz val="11"/>
        <color rgb="FF000000"/>
        <rFont val="宋体"/>
        <charset val="134"/>
      </rPr>
      <t>迟缓曲霉</t>
    </r>
  </si>
  <si>
    <t>Aspergillus lentulus</t>
  </si>
  <si>
    <r>
      <rPr>
        <sz val="11"/>
        <color rgb="FF000000"/>
        <rFont val="宋体"/>
        <charset val="134"/>
      </rPr>
      <t>构巢曲霉</t>
    </r>
  </si>
  <si>
    <t>Aspergillus nidulans</t>
  </si>
  <si>
    <r>
      <rPr>
        <sz val="11"/>
        <color rgb="FF000000"/>
        <rFont val="宋体"/>
        <charset val="134"/>
      </rPr>
      <t>根霉属</t>
    </r>
  </si>
  <si>
    <t>Rhizopus</t>
  </si>
  <si>
    <t>米根霉</t>
  </si>
  <si>
    <t>Rhizopus oryzae</t>
  </si>
  <si>
    <r>
      <rPr>
        <sz val="11"/>
        <color rgb="FF000000"/>
        <rFont val="宋体"/>
        <charset val="134"/>
      </rPr>
      <t>小孢根霉</t>
    </r>
  </si>
  <si>
    <t>Rhizopus microsporus</t>
  </si>
  <si>
    <r>
      <rPr>
        <sz val="11"/>
        <color rgb="FF000000"/>
        <rFont val="宋体"/>
        <charset val="134"/>
      </rPr>
      <t>尖端赛多孢子菌</t>
    </r>
  </si>
  <si>
    <t>Scedosporium apiospermum</t>
  </si>
  <si>
    <t>人腺病毒B组</t>
  </si>
  <si>
    <t>Human mastadenovirus B</t>
  </si>
  <si>
    <t>人腺病毒C组</t>
  </si>
  <si>
    <t>Human mastadenovirus C</t>
  </si>
  <si>
    <t>人腺病毒E组</t>
  </si>
  <si>
    <t>Human mastadenovirus E</t>
  </si>
  <si>
    <t>新型隐球菌（格鲁比变种）</t>
  </si>
  <si>
    <r>
      <rPr>
        <sz val="11"/>
        <color theme="1"/>
        <rFont val="宋体"/>
        <charset val="134"/>
      </rPr>
      <t>真菌</t>
    </r>
  </si>
  <si>
    <t>Cryptococcus neoformans var. grubii</t>
  </si>
  <si>
    <t>新型隐球菌（新生变种）</t>
  </si>
  <si>
    <t>Cryptococcus neoformans var. neoformans</t>
  </si>
  <si>
    <t>缓症链球菌</t>
  </si>
  <si>
    <t>细菌</t>
  </si>
  <si>
    <t>Streptococcus mitis</t>
  </si>
  <si>
    <t>阴性企参</t>
  </si>
  <si>
    <t>产酸克雷伯菌</t>
  </si>
  <si>
    <t>Klebsiella oxytoca</t>
  </si>
  <si>
    <t>偶发分枝杆菌</t>
  </si>
  <si>
    <t>Mycolicibacterium fortuitum</t>
  </si>
  <si>
    <t>库德里阿兹威毕赤酵母（克柔假丝酵母）</t>
  </si>
  <si>
    <t>Pichia kudriavzevii</t>
  </si>
  <si>
    <t>脑膜炎奈瑟菌</t>
  </si>
  <si>
    <t>Neisseria meningitidis</t>
  </si>
  <si>
    <t>化脓链球菌</t>
  </si>
  <si>
    <t>Streptococcus pyogenes</t>
  </si>
  <si>
    <t>副流感嗜血杆菌</t>
  </si>
  <si>
    <t>Haemophilus parainfluenzae</t>
  </si>
  <si>
    <t>近平滑假丝酵母</t>
  </si>
  <si>
    <t>Candida parapsilosis</t>
  </si>
  <si>
    <t>琼氏不动杆菌</t>
  </si>
  <si>
    <t>Acinetobacter junii</t>
  </si>
  <si>
    <t>表皮葡萄球菌</t>
  </si>
  <si>
    <t>Staphylococcus epidermidis</t>
  </si>
  <si>
    <t>无乳链球菌</t>
  </si>
  <si>
    <t>Streptococcus agalactiae</t>
  </si>
  <si>
    <t>白色假丝酵母</t>
  </si>
  <si>
    <t>Candida albicans</t>
  </si>
  <si>
    <r>
      <rPr>
        <sz val="11"/>
        <color theme="1"/>
        <rFont val="宋体"/>
        <charset val="134"/>
      </rPr>
      <t>序号</t>
    </r>
  </si>
  <si>
    <r>
      <rPr>
        <sz val="11"/>
        <color theme="1"/>
        <rFont val="宋体"/>
        <charset val="134"/>
      </rPr>
      <t>设备名称</t>
    </r>
  </si>
  <si>
    <t>内部编号</t>
  </si>
  <si>
    <r>
      <rPr>
        <sz val="11"/>
        <color theme="1"/>
        <rFont val="宋体"/>
        <charset val="134"/>
      </rPr>
      <t>设备型号</t>
    </r>
  </si>
  <si>
    <t>设备序列号</t>
  </si>
  <si>
    <r>
      <rPr>
        <sz val="11"/>
        <color theme="1"/>
        <rFont val="宋体"/>
        <charset val="134"/>
      </rPr>
      <t>基因测序仪</t>
    </r>
  </si>
  <si>
    <t>Nextseq CN500-8</t>
  </si>
  <si>
    <t>TPNB500550</t>
  </si>
  <si>
    <t>NDX550598</t>
  </si>
  <si>
    <t>NDX550778</t>
  </si>
  <si>
    <t>NDX551406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</si>
</sst>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58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-简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333333"/>
      <name val="Times New Roman"/>
      <charset val="134"/>
    </font>
    <font>
      <sz val="11"/>
      <color rgb="FF000000"/>
      <name val="宋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b/>
      <sz val="11"/>
      <color theme="1"/>
      <name val="宋体"/>
      <charset val="134"/>
    </font>
    <font>
      <b/>
      <sz val="9"/>
      <name val="宋体"/>
      <charset val="134"/>
    </font>
    <font>
      <sz val="9"/>
      <color theme="1"/>
      <name val="Times New Roman"/>
      <charset val="134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sz val="9"/>
      <color theme="1"/>
      <name val="Times New Roman"/>
      <charset val="0"/>
    </font>
    <font>
      <sz val="9"/>
      <name val="Times New Roman"/>
      <charset val="134"/>
    </font>
    <font>
      <sz val="9"/>
      <color theme="1"/>
      <name val="宋体-简"/>
      <charset val="134"/>
    </font>
    <font>
      <sz val="9"/>
      <color rgb="FF000000"/>
      <name val="Times New Roman"/>
      <charset val="0"/>
    </font>
    <font>
      <b/>
      <sz val="9"/>
      <name val="Times New Roman"/>
      <charset val="0"/>
    </font>
    <font>
      <sz val="9"/>
      <name val="Times New Roman"/>
      <charset val="0"/>
    </font>
    <font>
      <b/>
      <sz val="9"/>
      <color theme="1"/>
      <name val="宋体"/>
      <charset val="134"/>
    </font>
    <font>
      <b/>
      <sz val="9"/>
      <name val="Times New Roman"/>
      <charset val="134"/>
    </font>
    <font>
      <b/>
      <sz val="9"/>
      <color theme="1"/>
      <name val="Times New Roman"/>
      <charset val="134"/>
    </font>
    <font>
      <b/>
      <sz val="9"/>
      <name val="宋体"/>
      <charset val="0"/>
    </font>
    <font>
      <sz val="9"/>
      <color theme="1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  <font>
      <sz val="9"/>
      <color rgb="FFFF0000"/>
      <name val="宋体"/>
      <charset val="134"/>
    </font>
    <font>
      <sz val="9"/>
      <color rgb="FFFF0000"/>
      <name val="Times New Roman"/>
      <charset val="134"/>
    </font>
    <font>
      <b/>
      <sz val="9"/>
      <color rgb="FFFF0000"/>
      <name val="宋体"/>
      <charset val="134"/>
    </font>
    <font>
      <b/>
      <sz val="9"/>
      <color rgb="FFFF0000"/>
      <name val="Times New Roman"/>
      <charset val="134"/>
    </font>
    <font>
      <b/>
      <sz val="9"/>
      <color rgb="FF000000"/>
      <name val="宋体"/>
      <charset val="134"/>
    </font>
    <font>
      <sz val="11"/>
      <color rgb="FF333333"/>
      <name val="宋体"/>
      <charset val="134"/>
    </font>
    <font>
      <b/>
      <sz val="8"/>
      <color theme="1"/>
      <name val="宋体"/>
      <charset val="134"/>
    </font>
    <font>
      <sz val="8"/>
      <color theme="1"/>
      <name val="Times New Roman"/>
      <charset val="134"/>
    </font>
    <font>
      <sz val="8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8" borderId="8" applyNumberFormat="0" applyAlignment="0" applyProtection="0">
      <alignment vertical="center"/>
    </xf>
    <xf numFmtId="0" fontId="38" fillId="9" borderId="9" applyNumberFormat="0" applyAlignment="0" applyProtection="0">
      <alignment vertical="center"/>
    </xf>
    <xf numFmtId="0" fontId="39" fillId="9" borderId="8" applyNumberFormat="0" applyAlignment="0" applyProtection="0">
      <alignment vertical="center"/>
    </xf>
    <xf numFmtId="0" fontId="40" fillId="10" borderId="10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13" fillId="0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/>
    </xf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76" fontId="14" fillId="0" borderId="0" xfId="0" applyNumberFormat="1" applyFont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vertical="center" wrapText="1" shrinkToFit="1"/>
    </xf>
    <xf numFmtId="0" fontId="19" fillId="0" borderId="1" xfId="0" applyFont="1" applyFill="1" applyBorder="1" applyAlignment="1">
      <alignment vertical="center" wrapText="1" shrinkToFit="1"/>
    </xf>
    <xf numFmtId="176" fontId="20" fillId="0" borderId="1" xfId="0" applyNumberFormat="1" applyFont="1" applyFill="1" applyBorder="1" applyAlignment="1">
      <alignment horizontal="left" vertical="center" wrapText="1"/>
    </xf>
    <xf numFmtId="0" fontId="14" fillId="0" borderId="1" xfId="0" applyFont="1" applyBorder="1">
      <alignment vertical="center"/>
    </xf>
    <xf numFmtId="0" fontId="20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 wrapText="1"/>
    </xf>
    <xf numFmtId="49" fontId="21" fillId="0" borderId="1" xfId="0" applyNumberFormat="1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 shrinkToFit="1"/>
    </xf>
    <xf numFmtId="0" fontId="18" fillId="0" borderId="1" xfId="0" applyFont="1" applyFill="1" applyBorder="1" applyAlignment="1">
      <alignment horizontal="left" vertical="center" wrapText="1"/>
    </xf>
    <xf numFmtId="0" fontId="22" fillId="4" borderId="1" xfId="0" applyNumberFormat="1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49" fontId="14" fillId="0" borderId="0" xfId="0" applyNumberFormat="1" applyFont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 shrinkToFit="1"/>
    </xf>
    <xf numFmtId="0" fontId="26" fillId="0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 shrinkToFit="1"/>
    </xf>
    <xf numFmtId="0" fontId="27" fillId="5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 wrapText="1" shrinkToFit="1"/>
    </xf>
    <xf numFmtId="0" fontId="14" fillId="5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left" vertical="center" wrapText="1" shrinkToFit="1"/>
    </xf>
    <xf numFmtId="0" fontId="18" fillId="5" borderId="1" xfId="0" applyFont="1" applyFill="1" applyBorder="1" applyAlignment="1">
      <alignment horizontal="left" vertical="center" wrapText="1" shrinkToFit="1"/>
    </xf>
    <xf numFmtId="0" fontId="27" fillId="0" borderId="1" xfId="0" applyFont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left" vertical="center" wrapText="1"/>
    </xf>
    <xf numFmtId="49" fontId="14" fillId="0" borderId="1" xfId="0" applyNumberFormat="1" applyFont="1" applyBorder="1" applyAlignment="1">
      <alignment horizontal="left" vertical="center"/>
    </xf>
    <xf numFmtId="0" fontId="14" fillId="0" borderId="0" xfId="0" applyFont="1">
      <alignment vertical="center"/>
    </xf>
    <xf numFmtId="0" fontId="27" fillId="6" borderId="1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23" fillId="0" borderId="2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49" fontId="14" fillId="4" borderId="1" xfId="0" applyNumberFormat="1" applyFont="1" applyFill="1" applyBorder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27" fillId="0" borderId="2" xfId="0" applyFont="1" applyFill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24" fillId="0" borderId="3" xfId="0" applyFont="1" applyFill="1" applyBorder="1" applyAlignment="1">
      <alignment horizontal="left" vertical="center" wrapText="1"/>
    </xf>
    <xf numFmtId="0" fontId="24" fillId="0" borderId="4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horizontal="left" vertical="center"/>
    </xf>
    <xf numFmtId="0" fontId="27" fillId="0" borderId="1" xfId="0" applyFont="1" applyFill="1" applyBorder="1" applyAlignment="1">
      <alignment horizontal="left" vertical="center" wrapText="1"/>
    </xf>
    <xf numFmtId="0" fontId="27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 quotePrefix="1">
      <alignment horizontal="left" vertical="center" wrapText="1"/>
    </xf>
    <xf numFmtId="0" fontId="14" fillId="0" borderId="1" xfId="0" applyFont="1" applyBorder="1" applyAlignment="1" quotePrefix="1">
      <alignment horizontal="left" vertical="center"/>
    </xf>
    <xf numFmtId="0" fontId="22" fillId="0" borderId="1" xfId="0" applyFont="1" applyFill="1" applyBorder="1" applyAlignment="1" quotePrefix="1">
      <alignment horizontal="left" vertical="center" wrapText="1"/>
    </xf>
    <xf numFmtId="0" fontId="14" fillId="0" borderId="1" xfId="0" applyFont="1" applyBorder="1" quotePrefix="1">
      <alignment vertical="center"/>
    </xf>
    <xf numFmtId="0" fontId="14" fillId="4" borderId="1" xfId="0" applyFont="1" applyFill="1" applyBorder="1" applyAlignment="1" quotePrefix="1">
      <alignment horizontal="left" vertical="center"/>
    </xf>
    <xf numFmtId="0" fontId="14" fillId="0" borderId="1" xfId="0" applyFont="1" applyFill="1" applyBorder="1" applyAlignment="1" quotePrefix="1">
      <alignment horizontal="left" vertical="center"/>
    </xf>
    <xf numFmtId="0" fontId="14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09"/>
  <sheetViews>
    <sheetView zoomScale="160" zoomScaleNormal="160" topLeftCell="R1" workbookViewId="0">
      <pane ySplit="1" topLeftCell="A42" activePane="bottomLeft" state="frozen"/>
      <selection/>
      <selection pane="bottomLeft" activeCell="Z2" sqref="Z2"/>
    </sheetView>
  </sheetViews>
  <sheetFormatPr defaultColWidth="9" defaultRowHeight="13.6"/>
  <cols>
    <col min="1" max="2" width="9" style="38"/>
    <col min="3" max="3" width="24.75" style="57" customWidth="1"/>
    <col min="4" max="4" width="9" style="57"/>
    <col min="5" max="5" width="23.125" style="57" customWidth="1"/>
    <col min="6" max="6" width="9" style="57"/>
    <col min="7" max="7" width="24" style="57" customWidth="1"/>
    <col min="8" max="8" width="9" style="57"/>
    <col min="9" max="9" width="21.625" style="57" customWidth="1"/>
    <col min="10" max="10" width="9" style="57"/>
    <col min="11" max="11" width="18.625" style="57" customWidth="1"/>
    <col min="12" max="12" width="9" style="57"/>
    <col min="13" max="13" width="18.25" style="57" customWidth="1"/>
    <col min="14" max="14" width="9" style="57" hidden="1" customWidth="1"/>
    <col min="15" max="15" width="29.1442307692308" style="57" hidden="1" customWidth="1"/>
    <col min="16" max="16" width="22" style="57" hidden="1" customWidth="1"/>
    <col min="17" max="17" width="32.0288461538462" style="38" customWidth="1"/>
    <col min="18" max="18" width="9.32692307692308" style="57" customWidth="1"/>
    <col min="19" max="19" width="7.01923076923077" style="57" customWidth="1"/>
    <col min="20" max="20" width="6.25" style="57" customWidth="1"/>
    <col min="21" max="21" width="12.2115384615385" style="38" customWidth="1"/>
    <col min="22" max="22" width="3.84615384615385" style="58" customWidth="1"/>
    <col min="23" max="23" width="5.66346153846154" style="58" customWidth="1"/>
    <col min="24" max="24" width="13.5576923076923" style="38" customWidth="1"/>
    <col min="25" max="25" width="31.625" style="38" customWidth="1"/>
    <col min="26" max="27" width="16.5480769230769" style="38" customWidth="1"/>
    <col min="28" max="16384" width="9" style="38"/>
  </cols>
  <sheetData>
    <row r="1" ht="41" spans="1:29">
      <c r="A1" s="48" t="s">
        <v>0</v>
      </c>
      <c r="B1" s="48" t="s">
        <v>1</v>
      </c>
      <c r="C1" s="48" t="s">
        <v>2</v>
      </c>
      <c r="D1" s="48" t="s">
        <v>1</v>
      </c>
      <c r="E1" s="48" t="s">
        <v>3</v>
      </c>
      <c r="F1" s="48" t="s">
        <v>1</v>
      </c>
      <c r="G1" s="48" t="s">
        <v>4</v>
      </c>
      <c r="H1" s="48" t="s">
        <v>1</v>
      </c>
      <c r="I1" s="48" t="s">
        <v>5</v>
      </c>
      <c r="J1" s="48" t="s">
        <v>1</v>
      </c>
      <c r="K1" s="61" t="s">
        <v>6</v>
      </c>
      <c r="L1" s="48" t="s">
        <v>1</v>
      </c>
      <c r="M1" s="48" t="s">
        <v>7</v>
      </c>
      <c r="N1" s="48" t="s">
        <v>1</v>
      </c>
      <c r="O1" s="48" t="s">
        <v>8</v>
      </c>
      <c r="P1" s="63" t="s">
        <v>9</v>
      </c>
      <c r="Q1" s="48" t="s">
        <v>10</v>
      </c>
      <c r="R1" s="48" t="s">
        <v>7</v>
      </c>
      <c r="S1" s="48" t="s">
        <v>7</v>
      </c>
      <c r="T1" s="48" t="s">
        <v>11</v>
      </c>
      <c r="U1" s="48" t="s">
        <v>12</v>
      </c>
      <c r="V1" s="48" t="s">
        <v>11</v>
      </c>
      <c r="W1" s="49" t="s">
        <v>13</v>
      </c>
      <c r="X1" s="61" t="s">
        <v>14</v>
      </c>
      <c r="Y1" s="48" t="s">
        <v>15</v>
      </c>
      <c r="Z1" s="48" t="s">
        <v>16</v>
      </c>
      <c r="AA1" s="48" t="s">
        <v>16</v>
      </c>
      <c r="AB1" s="48" t="s">
        <v>17</v>
      </c>
      <c r="AC1" s="53" t="s">
        <v>18</v>
      </c>
    </row>
    <row r="2" ht="45" customHeight="1" spans="1:29">
      <c r="A2" s="54"/>
      <c r="B2" s="54"/>
      <c r="C2" s="59" t="s">
        <v>19</v>
      </c>
      <c r="D2" s="59" t="s">
        <v>20</v>
      </c>
      <c r="E2" s="59" t="s">
        <v>21</v>
      </c>
      <c r="F2" s="59" t="s">
        <v>20</v>
      </c>
      <c r="G2" s="59" t="s">
        <v>22</v>
      </c>
      <c r="H2" s="59" t="s">
        <v>20</v>
      </c>
      <c r="I2" s="59" t="s">
        <v>23</v>
      </c>
      <c r="J2" s="59" t="s">
        <v>20</v>
      </c>
      <c r="K2" s="59" t="s">
        <v>24</v>
      </c>
      <c r="L2" s="59" t="s">
        <v>20</v>
      </c>
      <c r="M2" s="59" t="s">
        <v>25</v>
      </c>
      <c r="N2" s="59" t="s">
        <v>20</v>
      </c>
      <c r="O2" s="64" t="s">
        <v>26</v>
      </c>
      <c r="P2" s="65" t="s">
        <v>27</v>
      </c>
      <c r="Q2" s="70" t="s">
        <v>28</v>
      </c>
      <c r="R2" s="59" t="s">
        <v>29</v>
      </c>
      <c r="S2" s="59">
        <v>251017</v>
      </c>
      <c r="T2" s="59" t="s">
        <v>30</v>
      </c>
      <c r="U2" s="51" t="s">
        <v>31</v>
      </c>
      <c r="V2" s="72" t="s">
        <v>30</v>
      </c>
      <c r="W2" s="101" t="s">
        <v>32</v>
      </c>
      <c r="X2" s="72" t="s">
        <v>33</v>
      </c>
      <c r="Y2" s="51" t="str">
        <f t="shared" ref="Y2:Y65" si="0">S2&amp;T2&amp;U2&amp;V2&amp;W2&amp;X2</f>
        <v>251017_TPNB500477_0120_AXXXXXXXXX</v>
      </c>
      <c r="Z2" s="51" t="s">
        <v>34</v>
      </c>
      <c r="AA2" s="51" t="s">
        <v>35</v>
      </c>
      <c r="AB2" s="26"/>
      <c r="AC2" s="55"/>
    </row>
    <row r="3" ht="45" customHeight="1" spans="1:29">
      <c r="A3" s="54"/>
      <c r="B3" s="54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66"/>
      <c r="P3" s="60"/>
      <c r="Q3" s="51"/>
      <c r="R3" s="59"/>
      <c r="S3" s="59">
        <v>251017</v>
      </c>
      <c r="T3" s="59" t="s">
        <v>30</v>
      </c>
      <c r="U3" s="51" t="s">
        <v>36</v>
      </c>
      <c r="V3" s="72" t="s">
        <v>30</v>
      </c>
      <c r="W3" s="101" t="s">
        <v>37</v>
      </c>
      <c r="X3" s="72" t="s">
        <v>33</v>
      </c>
      <c r="Y3" s="51" t="str">
        <f t="shared" si="0"/>
        <v>251017_NDX551406_RUO_0227_AXXXXXXXXX</v>
      </c>
      <c r="Z3" s="51" t="s">
        <v>38</v>
      </c>
      <c r="AA3" s="51" t="s">
        <v>39</v>
      </c>
      <c r="AB3" s="54"/>
      <c r="AC3" s="55"/>
    </row>
    <row r="4" ht="30" customHeight="1" spans="1:29">
      <c r="A4" s="54"/>
      <c r="B4" s="54"/>
      <c r="C4" s="60" t="s">
        <v>40</v>
      </c>
      <c r="D4" s="60" t="s">
        <v>20</v>
      </c>
      <c r="E4" s="60" t="s">
        <v>41</v>
      </c>
      <c r="F4" s="60" t="s">
        <v>20</v>
      </c>
      <c r="G4" s="60" t="s">
        <v>42</v>
      </c>
      <c r="H4" s="60" t="s">
        <v>20</v>
      </c>
      <c r="I4" s="60" t="s">
        <v>43</v>
      </c>
      <c r="J4" s="60" t="s">
        <v>20</v>
      </c>
      <c r="K4" s="60" t="s">
        <v>44</v>
      </c>
      <c r="L4" s="60" t="s">
        <v>20</v>
      </c>
      <c r="M4" s="50" t="s">
        <v>45</v>
      </c>
      <c r="N4" s="60" t="s">
        <v>20</v>
      </c>
      <c r="O4" s="67" t="s">
        <v>46</v>
      </c>
      <c r="P4" s="60" t="s">
        <v>47</v>
      </c>
      <c r="Q4" s="48" t="s">
        <v>48</v>
      </c>
      <c r="R4" s="50" t="s">
        <v>49</v>
      </c>
      <c r="S4" s="50">
        <v>260113</v>
      </c>
      <c r="T4" s="59" t="s">
        <v>30</v>
      </c>
      <c r="U4" s="51" t="s">
        <v>31</v>
      </c>
      <c r="V4" s="72" t="s">
        <v>30</v>
      </c>
      <c r="W4" s="101" t="s">
        <v>50</v>
      </c>
      <c r="X4" s="72" t="s">
        <v>33</v>
      </c>
      <c r="Y4" s="51" t="str">
        <f>S4&amp;T4&amp;U4&amp;V4&amp;W4&amp;X4</f>
        <v>260113_TPNB500477_0143_AXXXXXXXXX</v>
      </c>
      <c r="Z4" s="51" t="s">
        <v>34</v>
      </c>
      <c r="AA4" s="51" t="s">
        <v>35</v>
      </c>
      <c r="AB4" s="54"/>
      <c r="AC4" s="55"/>
    </row>
    <row r="5" ht="30" customHeight="1" spans="1:29">
      <c r="A5" s="54"/>
      <c r="B5" s="54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8"/>
      <c r="P5" s="60"/>
      <c r="Q5" s="51"/>
      <c r="R5" s="60"/>
      <c r="S5" s="50">
        <v>260113</v>
      </c>
      <c r="T5" s="59" t="s">
        <v>30</v>
      </c>
      <c r="U5" s="51" t="s">
        <v>36</v>
      </c>
      <c r="V5" s="72" t="s">
        <v>30</v>
      </c>
      <c r="W5" s="101" t="s">
        <v>51</v>
      </c>
      <c r="X5" s="72" t="s">
        <v>33</v>
      </c>
      <c r="Y5" s="51" t="str">
        <f t="shared" si="0"/>
        <v>260113_NDX551406_RUO_0278_AXXXXXXXXX</v>
      </c>
      <c r="Z5" s="51" t="s">
        <v>38</v>
      </c>
      <c r="AA5" s="51" t="s">
        <v>39</v>
      </c>
      <c r="AB5" s="54"/>
      <c r="AC5" s="55"/>
    </row>
    <row r="6" ht="30" customHeight="1" spans="1:29">
      <c r="A6" s="54"/>
      <c r="B6" s="54"/>
      <c r="C6" s="60" t="s">
        <v>52</v>
      </c>
      <c r="D6" s="60" t="s">
        <v>53</v>
      </c>
      <c r="E6" s="60" t="s">
        <v>54</v>
      </c>
      <c r="F6" s="60" t="s">
        <v>53</v>
      </c>
      <c r="G6" s="60" t="s">
        <v>55</v>
      </c>
      <c r="H6" s="60" t="s">
        <v>53</v>
      </c>
      <c r="I6" s="60" t="s">
        <v>56</v>
      </c>
      <c r="J6" s="60" t="s">
        <v>53</v>
      </c>
      <c r="K6" s="60" t="s">
        <v>57</v>
      </c>
      <c r="L6" s="60" t="s">
        <v>53</v>
      </c>
      <c r="M6" s="50" t="s">
        <v>58</v>
      </c>
      <c r="N6" s="60" t="s">
        <v>53</v>
      </c>
      <c r="O6" s="67" t="s">
        <v>46</v>
      </c>
      <c r="P6" s="60" t="s">
        <v>47</v>
      </c>
      <c r="Q6" s="51"/>
      <c r="R6" s="50" t="s">
        <v>59</v>
      </c>
      <c r="S6" s="50">
        <v>260114</v>
      </c>
      <c r="T6" s="59" t="s">
        <v>30</v>
      </c>
      <c r="U6" s="51" t="s">
        <v>31</v>
      </c>
      <c r="V6" s="72" t="s">
        <v>30</v>
      </c>
      <c r="W6" s="101" t="s">
        <v>60</v>
      </c>
      <c r="X6" s="72" t="s">
        <v>33</v>
      </c>
      <c r="Y6" s="51" t="str">
        <f t="shared" si="0"/>
        <v>260114_TPNB500477_0144_AXXXXXXXXX</v>
      </c>
      <c r="Z6" s="51" t="s">
        <v>34</v>
      </c>
      <c r="AA6" s="51" t="s">
        <v>35</v>
      </c>
      <c r="AB6" s="54"/>
      <c r="AC6" s="55"/>
    </row>
    <row r="7" ht="30" customHeight="1" spans="1:29">
      <c r="A7" s="54"/>
      <c r="B7" s="54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8"/>
      <c r="P7" s="60"/>
      <c r="Q7" s="51"/>
      <c r="R7" s="60"/>
      <c r="S7" s="50">
        <v>260114</v>
      </c>
      <c r="T7" s="59" t="s">
        <v>30</v>
      </c>
      <c r="U7" s="51" t="s">
        <v>36</v>
      </c>
      <c r="V7" s="72" t="s">
        <v>30</v>
      </c>
      <c r="W7" s="101" t="s">
        <v>61</v>
      </c>
      <c r="X7" s="72" t="s">
        <v>33</v>
      </c>
      <c r="Y7" s="51" t="str">
        <f t="shared" si="0"/>
        <v>260114_NDX551406_RUO_0280_AXXXXXXXXX</v>
      </c>
      <c r="Z7" s="51" t="s">
        <v>38</v>
      </c>
      <c r="AA7" s="51" t="s">
        <v>39</v>
      </c>
      <c r="AB7" s="54"/>
      <c r="AC7" s="55"/>
    </row>
    <row r="8" ht="30" customHeight="1" spans="1:29">
      <c r="A8" s="54"/>
      <c r="B8" s="54"/>
      <c r="C8" s="60" t="s">
        <v>62</v>
      </c>
      <c r="D8" s="60" t="s">
        <v>63</v>
      </c>
      <c r="E8" s="60" t="s">
        <v>64</v>
      </c>
      <c r="F8" s="60" t="s">
        <v>63</v>
      </c>
      <c r="G8" s="60" t="s">
        <v>65</v>
      </c>
      <c r="H8" s="60" t="s">
        <v>63</v>
      </c>
      <c r="I8" s="60" t="s">
        <v>66</v>
      </c>
      <c r="J8" s="60" t="s">
        <v>63</v>
      </c>
      <c r="K8" s="60" t="s">
        <v>67</v>
      </c>
      <c r="L8" s="60" t="s">
        <v>63</v>
      </c>
      <c r="M8" s="50" t="s">
        <v>68</v>
      </c>
      <c r="N8" s="60" t="s">
        <v>63</v>
      </c>
      <c r="O8" s="67" t="s">
        <v>46</v>
      </c>
      <c r="P8" s="60" t="s">
        <v>47</v>
      </c>
      <c r="Q8" s="51"/>
      <c r="R8" s="50" t="s">
        <v>69</v>
      </c>
      <c r="S8" s="50">
        <v>260115</v>
      </c>
      <c r="T8" s="59" t="s">
        <v>30</v>
      </c>
      <c r="U8" s="51" t="s">
        <v>31</v>
      </c>
      <c r="V8" s="72" t="s">
        <v>30</v>
      </c>
      <c r="W8" s="101" t="s">
        <v>70</v>
      </c>
      <c r="X8" s="72" t="s">
        <v>33</v>
      </c>
      <c r="Y8" s="51" t="str">
        <f t="shared" si="0"/>
        <v>260115_TPNB500477_0145_AXXXXXXXXX</v>
      </c>
      <c r="Z8" s="51" t="s">
        <v>34</v>
      </c>
      <c r="AA8" s="51" t="s">
        <v>35</v>
      </c>
      <c r="AB8" s="54"/>
      <c r="AC8" s="55"/>
    </row>
    <row r="9" ht="30" customHeight="1" spans="1:29">
      <c r="A9" s="54"/>
      <c r="B9" s="54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8"/>
      <c r="P9" s="60"/>
      <c r="Q9" s="51"/>
      <c r="R9" s="60"/>
      <c r="S9" s="50">
        <v>260115</v>
      </c>
      <c r="T9" s="59" t="s">
        <v>30</v>
      </c>
      <c r="U9" s="51" t="s">
        <v>36</v>
      </c>
      <c r="V9" s="72" t="s">
        <v>30</v>
      </c>
      <c r="W9" s="101" t="s">
        <v>71</v>
      </c>
      <c r="X9" s="72" t="s">
        <v>33</v>
      </c>
      <c r="Y9" s="51" t="str">
        <f t="shared" si="0"/>
        <v>260115_NDX551406_RUO_0282_AXXXXXXXXX</v>
      </c>
      <c r="Z9" s="51" t="s">
        <v>38</v>
      </c>
      <c r="AA9" s="51" t="s">
        <v>39</v>
      </c>
      <c r="AB9" s="54"/>
      <c r="AC9" s="55"/>
    </row>
    <row r="10" ht="13" customHeight="1" spans="1:29">
      <c r="A10" s="26"/>
      <c r="B10" s="26"/>
      <c r="C10" s="59" t="s">
        <v>72</v>
      </c>
      <c r="D10" s="59" t="s">
        <v>73</v>
      </c>
      <c r="E10" s="59" t="s">
        <v>74</v>
      </c>
      <c r="F10" s="59" t="s">
        <v>73</v>
      </c>
      <c r="G10" s="59" t="s">
        <v>75</v>
      </c>
      <c r="H10" s="59" t="s">
        <v>73</v>
      </c>
      <c r="I10" s="62" t="s">
        <v>76</v>
      </c>
      <c r="J10" s="59" t="s">
        <v>77</v>
      </c>
      <c r="K10" s="59" t="s">
        <v>78</v>
      </c>
      <c r="L10" s="59" t="s">
        <v>77</v>
      </c>
      <c r="M10" s="59" t="s">
        <v>79</v>
      </c>
      <c r="N10" s="59" t="s">
        <v>77</v>
      </c>
      <c r="O10" s="69" t="s">
        <v>80</v>
      </c>
      <c r="P10" s="59" t="s">
        <v>81</v>
      </c>
      <c r="Q10" s="71" t="s">
        <v>82</v>
      </c>
      <c r="R10" s="59" t="s">
        <v>83</v>
      </c>
      <c r="S10" s="59">
        <v>260120</v>
      </c>
      <c r="T10" s="59" t="s">
        <v>30</v>
      </c>
      <c r="U10" s="51" t="s">
        <v>31</v>
      </c>
      <c r="V10" s="72" t="s">
        <v>30</v>
      </c>
      <c r="W10" s="102" t="s">
        <v>84</v>
      </c>
      <c r="X10" s="72" t="s">
        <v>33</v>
      </c>
      <c r="Y10" s="51" t="str">
        <f t="shared" si="0"/>
        <v>260120_TPNB500477_0153_AXXXXXXXXX</v>
      </c>
      <c r="Z10" s="51" t="s">
        <v>34</v>
      </c>
      <c r="AA10" s="51" t="s">
        <v>35</v>
      </c>
      <c r="AB10" s="26"/>
      <c r="AC10" s="26"/>
    </row>
    <row r="11" ht="13" customHeight="1" spans="1:29">
      <c r="A11" s="26"/>
      <c r="B11" s="26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>
        <v>260120</v>
      </c>
      <c r="T11" s="59" t="s">
        <v>30</v>
      </c>
      <c r="U11" s="51" t="s">
        <v>85</v>
      </c>
      <c r="V11" s="72" t="s">
        <v>30</v>
      </c>
      <c r="W11" s="74" t="s">
        <v>86</v>
      </c>
      <c r="X11" s="72" t="s">
        <v>33</v>
      </c>
      <c r="Y11" s="51" t="str">
        <f t="shared" si="0"/>
        <v>260120_TPNB500597_0072_AXXXXXXXXX</v>
      </c>
      <c r="Z11" s="51" t="s">
        <v>87</v>
      </c>
      <c r="AA11" s="51" t="s">
        <v>35</v>
      </c>
      <c r="AB11" s="26"/>
      <c r="AC11" s="26"/>
    </row>
    <row r="12" ht="13" customHeight="1" spans="1:29">
      <c r="A12" s="26"/>
      <c r="B12" s="26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>
        <v>260120</v>
      </c>
      <c r="T12" s="59" t="s">
        <v>30</v>
      </c>
      <c r="U12" s="51" t="s">
        <v>88</v>
      </c>
      <c r="V12" s="72" t="s">
        <v>30</v>
      </c>
      <c r="W12" s="26" t="s">
        <v>89</v>
      </c>
      <c r="X12" s="72" t="s">
        <v>33</v>
      </c>
      <c r="Y12" s="51" t="str">
        <f t="shared" si="0"/>
        <v>260120_TPNB500641_0085_AXXXXXXXXX</v>
      </c>
      <c r="Z12" s="51" t="s">
        <v>90</v>
      </c>
      <c r="AA12" s="51" t="s">
        <v>35</v>
      </c>
      <c r="AB12" s="26"/>
      <c r="AC12" s="26"/>
    </row>
    <row r="13" ht="13" customHeight="1" spans="1:29">
      <c r="A13" s="26"/>
      <c r="B13" s="26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>
        <v>260120</v>
      </c>
      <c r="T13" s="59" t="s">
        <v>30</v>
      </c>
      <c r="U13" s="51" t="s">
        <v>36</v>
      </c>
      <c r="V13" s="72" t="s">
        <v>30</v>
      </c>
      <c r="W13" s="102" t="s">
        <v>91</v>
      </c>
      <c r="X13" s="72" t="s">
        <v>33</v>
      </c>
      <c r="Y13" s="51" t="str">
        <f t="shared" si="0"/>
        <v>260120_NDX551406_RUO_0291_AXXXXXXXXX</v>
      </c>
      <c r="Z13" s="51" t="s">
        <v>38</v>
      </c>
      <c r="AA13" s="51" t="s">
        <v>39</v>
      </c>
      <c r="AB13" s="26"/>
      <c r="AC13" s="26"/>
    </row>
    <row r="14" ht="13" customHeight="1" spans="1:29">
      <c r="A14" s="26"/>
      <c r="B14" s="26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>
        <v>260120</v>
      </c>
      <c r="T14" s="59" t="s">
        <v>30</v>
      </c>
      <c r="U14" s="51" t="s">
        <v>92</v>
      </c>
      <c r="V14" s="72" t="s">
        <v>30</v>
      </c>
      <c r="W14" s="103" t="s">
        <v>93</v>
      </c>
      <c r="X14" s="72" t="s">
        <v>33</v>
      </c>
      <c r="Y14" s="51" t="str">
        <f t="shared" si="0"/>
        <v>260120_NDX550598_RUO_0067_AXXXXXXXXX</v>
      </c>
      <c r="Z14" s="51" t="s">
        <v>94</v>
      </c>
      <c r="AA14" s="51" t="s">
        <v>39</v>
      </c>
      <c r="AB14" s="26"/>
      <c r="AC14" s="26"/>
    </row>
    <row r="15" ht="13" customHeight="1" spans="1:29">
      <c r="A15" s="26"/>
      <c r="B15" s="26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>
        <v>260120</v>
      </c>
      <c r="T15" s="59" t="s">
        <v>30</v>
      </c>
      <c r="U15" s="51" t="s">
        <v>95</v>
      </c>
      <c r="V15" s="72" t="s">
        <v>30</v>
      </c>
      <c r="W15" s="103" t="s">
        <v>96</v>
      </c>
      <c r="X15" s="72" t="s">
        <v>33</v>
      </c>
      <c r="Y15" s="51" t="str">
        <f t="shared" si="0"/>
        <v>260120_NDX550778_RUO_0087_AXXXXXXXXX</v>
      </c>
      <c r="Z15" s="51" t="s">
        <v>97</v>
      </c>
      <c r="AA15" s="51" t="s">
        <v>39</v>
      </c>
      <c r="AB15" s="26"/>
      <c r="AC15" s="26"/>
    </row>
    <row r="16" ht="13" customHeight="1" spans="1:29">
      <c r="A16" s="26"/>
      <c r="B16" s="26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>
        <v>260120</v>
      </c>
      <c r="T16" s="59" t="s">
        <v>30</v>
      </c>
      <c r="U16" s="26" t="s">
        <v>98</v>
      </c>
      <c r="V16" s="72" t="s">
        <v>30</v>
      </c>
      <c r="W16" s="102" t="s">
        <v>99</v>
      </c>
      <c r="X16" s="72" t="s">
        <v>33</v>
      </c>
      <c r="Y16" s="51" t="str">
        <f t="shared" si="0"/>
        <v>260120_TPNB500657_0076_AXXXXXXXXX</v>
      </c>
      <c r="Z16" s="51" t="s">
        <v>100</v>
      </c>
      <c r="AA16" s="51" t="s">
        <v>35</v>
      </c>
      <c r="AB16" s="26"/>
      <c r="AC16" s="26"/>
    </row>
    <row r="17" ht="13" customHeight="1" spans="1:29">
      <c r="A17" s="26"/>
      <c r="B17" s="26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>
        <v>260120</v>
      </c>
      <c r="T17" s="59" t="s">
        <v>30</v>
      </c>
      <c r="U17" s="26" t="s">
        <v>101</v>
      </c>
      <c r="V17" s="72" t="s">
        <v>30</v>
      </c>
      <c r="W17" s="75" t="s">
        <v>102</v>
      </c>
      <c r="X17" s="72" t="s">
        <v>33</v>
      </c>
      <c r="Y17" s="51" t="str">
        <f t="shared" si="0"/>
        <v>260120_TPNB500530_0096_AXXXXXXXXX</v>
      </c>
      <c r="Z17" s="51" t="s">
        <v>103</v>
      </c>
      <c r="AA17" s="51" t="s">
        <v>35</v>
      </c>
      <c r="AB17" s="26"/>
      <c r="AC17" s="26"/>
    </row>
    <row r="18" ht="13" customHeight="1" spans="1:29">
      <c r="A18" s="26"/>
      <c r="B18" s="26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>
        <v>260120</v>
      </c>
      <c r="T18" s="59" t="s">
        <v>30</v>
      </c>
      <c r="U18" s="26" t="s">
        <v>104</v>
      </c>
      <c r="V18" s="72" t="s">
        <v>30</v>
      </c>
      <c r="W18" s="45" t="s">
        <v>105</v>
      </c>
      <c r="X18" s="72" t="s">
        <v>33</v>
      </c>
      <c r="Y18" s="51" t="str">
        <f t="shared" si="0"/>
        <v>260120_TPNB500560_0095_AXXXXXXXXX</v>
      </c>
      <c r="Z18" s="51" t="s">
        <v>106</v>
      </c>
      <c r="AA18" s="51" t="s">
        <v>35</v>
      </c>
      <c r="AB18" s="26"/>
      <c r="AC18" s="26"/>
    </row>
    <row r="19" ht="13" customHeight="1" spans="1:29">
      <c r="A19" s="26"/>
      <c r="B19" s="26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>
        <v>260120</v>
      </c>
      <c r="T19" s="59" t="s">
        <v>30</v>
      </c>
      <c r="U19" s="51" t="s">
        <v>36</v>
      </c>
      <c r="V19" s="72" t="s">
        <v>30</v>
      </c>
      <c r="W19" s="102" t="s">
        <v>107</v>
      </c>
      <c r="X19" s="72" t="s">
        <v>33</v>
      </c>
      <c r="Y19" s="51" t="str">
        <f t="shared" si="0"/>
        <v>260120_NDX551406_RUO_0292_AXXXXXXXXX</v>
      </c>
      <c r="Z19" s="51" t="s">
        <v>38</v>
      </c>
      <c r="AA19" s="51" t="s">
        <v>39</v>
      </c>
      <c r="AB19" s="26"/>
      <c r="AC19" s="26"/>
    </row>
    <row r="20" ht="13" customHeight="1" spans="1:29">
      <c r="A20" s="26"/>
      <c r="B20" s="26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>
        <v>260120</v>
      </c>
      <c r="T20" s="59" t="s">
        <v>30</v>
      </c>
      <c r="U20" s="51" t="s">
        <v>92</v>
      </c>
      <c r="V20" s="72" t="s">
        <v>30</v>
      </c>
      <c r="W20" s="103" t="s">
        <v>108</v>
      </c>
      <c r="X20" s="72" t="s">
        <v>33</v>
      </c>
      <c r="Y20" s="51" t="str">
        <f t="shared" si="0"/>
        <v>260120_NDX550598_RUO_0068_AXXXXXXXXX</v>
      </c>
      <c r="Z20" s="51" t="s">
        <v>94</v>
      </c>
      <c r="AA20" s="51" t="s">
        <v>39</v>
      </c>
      <c r="AB20" s="26"/>
      <c r="AC20" s="26"/>
    </row>
    <row r="21" ht="13" customHeight="1" spans="1:29">
      <c r="A21" s="26"/>
      <c r="B21" s="26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>
        <v>260120</v>
      </c>
      <c r="T21" s="59" t="s">
        <v>30</v>
      </c>
      <c r="U21" s="51" t="s">
        <v>95</v>
      </c>
      <c r="V21" s="72" t="s">
        <v>30</v>
      </c>
      <c r="W21" s="103" t="s">
        <v>109</v>
      </c>
      <c r="X21" s="72" t="s">
        <v>33</v>
      </c>
      <c r="Y21" s="51" t="str">
        <f t="shared" si="0"/>
        <v>260120_NDX550778_RUO_0088_AXXXXXXXXX</v>
      </c>
      <c r="Z21" s="51" t="s">
        <v>97</v>
      </c>
      <c r="AA21" s="51" t="s">
        <v>39</v>
      </c>
      <c r="AB21" s="26"/>
      <c r="AC21" s="26"/>
    </row>
    <row r="22" ht="13" customHeight="1" spans="1:29">
      <c r="A22" s="26"/>
      <c r="B22" s="26"/>
      <c r="C22" s="59" t="s">
        <v>72</v>
      </c>
      <c r="D22" s="59" t="s">
        <v>73</v>
      </c>
      <c r="E22" s="59" t="s">
        <v>74</v>
      </c>
      <c r="F22" s="59" t="s">
        <v>73</v>
      </c>
      <c r="G22" s="59" t="s">
        <v>75</v>
      </c>
      <c r="H22" s="59" t="s">
        <v>73</v>
      </c>
      <c r="I22" s="59" t="s">
        <v>110</v>
      </c>
      <c r="J22" s="59" t="s">
        <v>73</v>
      </c>
      <c r="K22" s="59" t="s">
        <v>111</v>
      </c>
      <c r="L22" s="59" t="s">
        <v>77</v>
      </c>
      <c r="M22" s="59" t="s">
        <v>112</v>
      </c>
      <c r="N22" s="59" t="s">
        <v>77</v>
      </c>
      <c r="O22" s="69" t="s">
        <v>113</v>
      </c>
      <c r="P22" s="59" t="s">
        <v>81</v>
      </c>
      <c r="Q22" s="59"/>
      <c r="R22" s="59" t="s">
        <v>114</v>
      </c>
      <c r="S22" s="59">
        <v>260121</v>
      </c>
      <c r="T22" s="59" t="s">
        <v>30</v>
      </c>
      <c r="U22" s="51" t="s">
        <v>31</v>
      </c>
      <c r="V22" s="72" t="s">
        <v>30</v>
      </c>
      <c r="W22" s="102" t="s">
        <v>115</v>
      </c>
      <c r="X22" s="72" t="s">
        <v>33</v>
      </c>
      <c r="Y22" s="51" t="str">
        <f t="shared" si="0"/>
        <v>260121_TPNB500477_0155_AXXXXXXXXX</v>
      </c>
      <c r="Z22" s="51" t="s">
        <v>34</v>
      </c>
      <c r="AA22" s="51" t="s">
        <v>35</v>
      </c>
      <c r="AB22" s="26"/>
      <c r="AC22" s="26"/>
    </row>
    <row r="23" ht="13" customHeight="1" spans="1:29">
      <c r="A23" s="26"/>
      <c r="B23" s="26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>
        <v>260121</v>
      </c>
      <c r="T23" s="59" t="s">
        <v>30</v>
      </c>
      <c r="U23" s="51" t="s">
        <v>85</v>
      </c>
      <c r="V23" s="72" t="s">
        <v>30</v>
      </c>
      <c r="W23" s="74" t="s">
        <v>116</v>
      </c>
      <c r="X23" s="72" t="s">
        <v>33</v>
      </c>
      <c r="Y23" s="51" t="str">
        <f t="shared" si="0"/>
        <v>260121_TPNB500597_0074_AXXXXXXXXX</v>
      </c>
      <c r="Z23" s="51" t="s">
        <v>87</v>
      </c>
      <c r="AA23" s="51" t="s">
        <v>35</v>
      </c>
      <c r="AB23" s="26"/>
      <c r="AC23" s="26"/>
    </row>
    <row r="24" ht="13" customHeight="1" spans="1:29">
      <c r="A24" s="26"/>
      <c r="B24" s="26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>
        <v>260121</v>
      </c>
      <c r="T24" s="59" t="s">
        <v>30</v>
      </c>
      <c r="U24" s="51" t="s">
        <v>88</v>
      </c>
      <c r="V24" s="72" t="s">
        <v>30</v>
      </c>
      <c r="W24" s="26" t="s">
        <v>96</v>
      </c>
      <c r="X24" s="72" t="s">
        <v>33</v>
      </c>
      <c r="Y24" s="51" t="str">
        <f t="shared" si="0"/>
        <v>260121_TPNB500641_0087_AXXXXXXXXX</v>
      </c>
      <c r="Z24" s="51" t="s">
        <v>90</v>
      </c>
      <c r="AA24" s="51" t="s">
        <v>35</v>
      </c>
      <c r="AB24" s="26"/>
      <c r="AC24" s="26"/>
    </row>
    <row r="25" ht="13" customHeight="1" spans="1:29">
      <c r="A25" s="26"/>
      <c r="B25" s="26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>
        <v>260121</v>
      </c>
      <c r="T25" s="59" t="s">
        <v>30</v>
      </c>
      <c r="U25" s="51" t="s">
        <v>36</v>
      </c>
      <c r="V25" s="72" t="s">
        <v>30</v>
      </c>
      <c r="W25" s="102" t="s">
        <v>117</v>
      </c>
      <c r="X25" s="72" t="s">
        <v>33</v>
      </c>
      <c r="Y25" s="51" t="str">
        <f t="shared" si="0"/>
        <v>260121_NDX551406_RUO_0293_AXXXXXXXXX</v>
      </c>
      <c r="Z25" s="51" t="s">
        <v>38</v>
      </c>
      <c r="AA25" s="51" t="s">
        <v>39</v>
      </c>
      <c r="AB25" s="26"/>
      <c r="AC25" s="26"/>
    </row>
    <row r="26" ht="13" customHeight="1" spans="1:29">
      <c r="A26" s="26"/>
      <c r="B26" s="26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>
        <v>260121</v>
      </c>
      <c r="T26" s="59" t="s">
        <v>30</v>
      </c>
      <c r="U26" s="51" t="s">
        <v>92</v>
      </c>
      <c r="V26" s="72" t="s">
        <v>30</v>
      </c>
      <c r="W26" s="103" t="s">
        <v>118</v>
      </c>
      <c r="X26" s="72" t="s">
        <v>33</v>
      </c>
      <c r="Y26" s="51" t="str">
        <f t="shared" si="0"/>
        <v>260121_NDX550598_RUO_0069_AXXXXXXXXX</v>
      </c>
      <c r="Z26" s="51" t="s">
        <v>94</v>
      </c>
      <c r="AA26" s="51" t="s">
        <v>39</v>
      </c>
      <c r="AB26" s="26"/>
      <c r="AC26" s="26"/>
    </row>
    <row r="27" ht="13" customHeight="1" spans="1:29">
      <c r="A27" s="26"/>
      <c r="B27" s="2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>
        <v>260121</v>
      </c>
      <c r="T27" s="59" t="s">
        <v>30</v>
      </c>
      <c r="U27" s="51" t="s">
        <v>95</v>
      </c>
      <c r="V27" s="72" t="s">
        <v>30</v>
      </c>
      <c r="W27" s="103" t="s">
        <v>119</v>
      </c>
      <c r="X27" s="72" t="s">
        <v>33</v>
      </c>
      <c r="Y27" s="51" t="str">
        <f t="shared" si="0"/>
        <v>260121_NDX550778_RUO_0089_AXXXXXXXXX</v>
      </c>
      <c r="Z27" s="51" t="s">
        <v>97</v>
      </c>
      <c r="AA27" s="51" t="s">
        <v>39</v>
      </c>
      <c r="AB27" s="26"/>
      <c r="AC27" s="26"/>
    </row>
    <row r="28" ht="13" customHeight="1" spans="1:29">
      <c r="A28" s="26"/>
      <c r="B28" s="26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>
        <v>260121</v>
      </c>
      <c r="T28" s="59" t="s">
        <v>30</v>
      </c>
      <c r="U28" s="26" t="s">
        <v>98</v>
      </c>
      <c r="V28" s="72" t="s">
        <v>30</v>
      </c>
      <c r="W28" s="102" t="s">
        <v>120</v>
      </c>
      <c r="X28" s="72" t="s">
        <v>33</v>
      </c>
      <c r="Y28" s="51" t="str">
        <f t="shared" si="0"/>
        <v>260121_TPNB500657_0078_AXXXXXXXXX</v>
      </c>
      <c r="Z28" s="51" t="s">
        <v>100</v>
      </c>
      <c r="AA28" s="51" t="s">
        <v>35</v>
      </c>
      <c r="AB28" s="26"/>
      <c r="AC28" s="26"/>
    </row>
    <row r="29" ht="13" customHeight="1" spans="1:29">
      <c r="A29" s="26"/>
      <c r="B29" s="26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>
        <v>260121</v>
      </c>
      <c r="T29" s="59" t="s">
        <v>30</v>
      </c>
      <c r="U29" s="26" t="s">
        <v>101</v>
      </c>
      <c r="V29" s="72" t="s">
        <v>30</v>
      </c>
      <c r="W29" s="75" t="s">
        <v>121</v>
      </c>
      <c r="X29" s="72" t="s">
        <v>33</v>
      </c>
      <c r="Y29" s="51" t="str">
        <f t="shared" si="0"/>
        <v>260121_TPNB500530_0098_AXXXXXXXXX</v>
      </c>
      <c r="Z29" s="51" t="s">
        <v>103</v>
      </c>
      <c r="AA29" s="51" t="s">
        <v>35</v>
      </c>
      <c r="AB29" s="26"/>
      <c r="AC29" s="26"/>
    </row>
    <row r="30" ht="13" customHeight="1" spans="1:29">
      <c r="A30" s="26"/>
      <c r="B30" s="26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>
        <v>260121</v>
      </c>
      <c r="T30" s="59" t="s">
        <v>30</v>
      </c>
      <c r="U30" s="26" t="s">
        <v>104</v>
      </c>
      <c r="V30" s="72" t="s">
        <v>30</v>
      </c>
      <c r="W30" s="45" t="s">
        <v>122</v>
      </c>
      <c r="X30" s="72" t="s">
        <v>33</v>
      </c>
      <c r="Y30" s="51" t="str">
        <f t="shared" si="0"/>
        <v>260121_TPNB500560_0097_AXXXXXXXXX</v>
      </c>
      <c r="Z30" s="51" t="s">
        <v>106</v>
      </c>
      <c r="AA30" s="51" t="s">
        <v>35</v>
      </c>
      <c r="AB30" s="26"/>
      <c r="AC30" s="26"/>
    </row>
    <row r="31" ht="13" customHeight="1" spans="1:29">
      <c r="A31" s="26"/>
      <c r="B31" s="26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>
        <v>260121</v>
      </c>
      <c r="T31" s="59" t="s">
        <v>30</v>
      </c>
      <c r="U31" s="51" t="s">
        <v>36</v>
      </c>
      <c r="V31" s="72" t="s">
        <v>30</v>
      </c>
      <c r="W31" s="102" t="s">
        <v>123</v>
      </c>
      <c r="X31" s="72" t="s">
        <v>33</v>
      </c>
      <c r="Y31" s="51" t="str">
        <f t="shared" si="0"/>
        <v>260121_NDX551406_RUO_0294_AXXXXXXXXX</v>
      </c>
      <c r="Z31" s="51" t="s">
        <v>38</v>
      </c>
      <c r="AA31" s="51" t="s">
        <v>39</v>
      </c>
      <c r="AB31" s="26"/>
      <c r="AC31" s="26"/>
    </row>
    <row r="32" ht="13" customHeight="1" spans="1:29">
      <c r="A32" s="26"/>
      <c r="B32" s="26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>
        <v>260121</v>
      </c>
      <c r="T32" s="59" t="s">
        <v>30</v>
      </c>
      <c r="U32" s="51" t="s">
        <v>92</v>
      </c>
      <c r="V32" s="72" t="s">
        <v>30</v>
      </c>
      <c r="W32" s="103" t="s">
        <v>124</v>
      </c>
      <c r="X32" s="72" t="s">
        <v>33</v>
      </c>
      <c r="Y32" s="51" t="str">
        <f t="shared" si="0"/>
        <v>260121_NDX550598_RUO_0070_AXXXXXXXXX</v>
      </c>
      <c r="Z32" s="51" t="s">
        <v>94</v>
      </c>
      <c r="AA32" s="51" t="s">
        <v>39</v>
      </c>
      <c r="AB32" s="26"/>
      <c r="AC32" s="26"/>
    </row>
    <row r="33" ht="28" spans="1:29">
      <c r="A33" s="26"/>
      <c r="B33" s="26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>
        <v>260121</v>
      </c>
      <c r="T33" s="59" t="s">
        <v>30</v>
      </c>
      <c r="U33" s="51" t="s">
        <v>95</v>
      </c>
      <c r="V33" s="72" t="s">
        <v>30</v>
      </c>
      <c r="W33" s="103" t="s">
        <v>125</v>
      </c>
      <c r="X33" s="72" t="s">
        <v>33</v>
      </c>
      <c r="Y33" s="51" t="str">
        <f t="shared" si="0"/>
        <v>260121_NDX550778_RUO_0090_AXXXXXXXXX</v>
      </c>
      <c r="Z33" s="51" t="s">
        <v>97</v>
      </c>
      <c r="AA33" s="51" t="s">
        <v>39</v>
      </c>
      <c r="AB33" s="26"/>
      <c r="AC33" s="26"/>
    </row>
    <row r="34" ht="28" spans="1:29">
      <c r="A34" s="26"/>
      <c r="B34" s="26"/>
      <c r="C34" s="59" t="s">
        <v>72</v>
      </c>
      <c r="D34" s="59" t="s">
        <v>73</v>
      </c>
      <c r="E34" s="59" t="s">
        <v>74</v>
      </c>
      <c r="F34" s="59" t="s">
        <v>73</v>
      </c>
      <c r="G34" s="59" t="s">
        <v>75</v>
      </c>
      <c r="H34" s="59" t="s">
        <v>73</v>
      </c>
      <c r="I34" s="59" t="s">
        <v>126</v>
      </c>
      <c r="J34" s="59" t="s">
        <v>73</v>
      </c>
      <c r="K34" s="59" t="s">
        <v>127</v>
      </c>
      <c r="L34" s="59" t="s">
        <v>77</v>
      </c>
      <c r="M34" s="59" t="s">
        <v>128</v>
      </c>
      <c r="N34" s="59" t="s">
        <v>77</v>
      </c>
      <c r="O34" s="69" t="s">
        <v>129</v>
      </c>
      <c r="P34" s="59" t="s">
        <v>81</v>
      </c>
      <c r="Q34" s="59"/>
      <c r="R34" s="59" t="s">
        <v>130</v>
      </c>
      <c r="S34" s="59">
        <v>260122</v>
      </c>
      <c r="T34" s="59" t="s">
        <v>30</v>
      </c>
      <c r="U34" s="51" t="s">
        <v>31</v>
      </c>
      <c r="V34" s="72" t="s">
        <v>30</v>
      </c>
      <c r="W34" s="102" t="s">
        <v>131</v>
      </c>
      <c r="X34" s="72" t="s">
        <v>33</v>
      </c>
      <c r="Y34" s="51" t="str">
        <f t="shared" si="0"/>
        <v>260122_TPNB500477_0157_AXXXXXXXXX</v>
      </c>
      <c r="Z34" s="51" t="s">
        <v>34</v>
      </c>
      <c r="AA34" s="51" t="s">
        <v>35</v>
      </c>
      <c r="AB34" s="26"/>
      <c r="AC34" s="26"/>
    </row>
    <row r="35" ht="28" spans="1:29">
      <c r="A35" s="26"/>
      <c r="B35" s="26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>
        <v>260122</v>
      </c>
      <c r="T35" s="59" t="s">
        <v>30</v>
      </c>
      <c r="U35" s="51" t="s">
        <v>85</v>
      </c>
      <c r="V35" s="72" t="s">
        <v>30</v>
      </c>
      <c r="W35" s="74" t="s">
        <v>99</v>
      </c>
      <c r="X35" s="72" t="s">
        <v>33</v>
      </c>
      <c r="Y35" s="51" t="str">
        <f t="shared" si="0"/>
        <v>260122_TPNB500597_0076_AXXXXXXXXX</v>
      </c>
      <c r="Z35" s="51" t="s">
        <v>87</v>
      </c>
      <c r="AA35" s="51" t="s">
        <v>35</v>
      </c>
      <c r="AB35" s="26"/>
      <c r="AC35" s="26"/>
    </row>
    <row r="36" ht="28" spans="1:29">
      <c r="A36" s="26"/>
      <c r="B36" s="26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>
        <v>260122</v>
      </c>
      <c r="T36" s="59" t="s">
        <v>30</v>
      </c>
      <c r="U36" s="51" t="s">
        <v>88</v>
      </c>
      <c r="V36" s="72" t="s">
        <v>30</v>
      </c>
      <c r="W36" s="26" t="s">
        <v>119</v>
      </c>
      <c r="X36" s="72" t="s">
        <v>33</v>
      </c>
      <c r="Y36" s="51" t="str">
        <f t="shared" si="0"/>
        <v>260122_TPNB500641_0089_AXXXXXXXXX</v>
      </c>
      <c r="Z36" s="51" t="s">
        <v>90</v>
      </c>
      <c r="AA36" s="51" t="s">
        <v>35</v>
      </c>
      <c r="AB36" s="26"/>
      <c r="AC36" s="26"/>
    </row>
    <row r="37" ht="28" spans="1:29">
      <c r="A37" s="26"/>
      <c r="B37" s="26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>
        <v>260122</v>
      </c>
      <c r="T37" s="59" t="s">
        <v>30</v>
      </c>
      <c r="U37" s="51" t="s">
        <v>36</v>
      </c>
      <c r="V37" s="72" t="s">
        <v>30</v>
      </c>
      <c r="W37" s="102" t="s">
        <v>132</v>
      </c>
      <c r="X37" s="72" t="s">
        <v>33</v>
      </c>
      <c r="Y37" s="51" t="str">
        <f t="shared" si="0"/>
        <v>260122_NDX551406_RUO_0295_AXXXXXXXXX</v>
      </c>
      <c r="Z37" s="51" t="s">
        <v>38</v>
      </c>
      <c r="AA37" s="51" t="s">
        <v>39</v>
      </c>
      <c r="AB37" s="26"/>
      <c r="AC37" s="26"/>
    </row>
    <row r="38" ht="28" spans="1:29">
      <c r="A38" s="26"/>
      <c r="B38" s="26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>
        <v>260122</v>
      </c>
      <c r="T38" s="59" t="s">
        <v>30</v>
      </c>
      <c r="U38" s="51" t="s">
        <v>92</v>
      </c>
      <c r="V38" s="72" t="s">
        <v>30</v>
      </c>
      <c r="W38" s="103" t="s">
        <v>133</v>
      </c>
      <c r="X38" s="72" t="s">
        <v>33</v>
      </c>
      <c r="Y38" s="51" t="str">
        <f t="shared" si="0"/>
        <v>260122_NDX550598_RUO_0071_AXXXXXXXXX</v>
      </c>
      <c r="Z38" s="51" t="s">
        <v>94</v>
      </c>
      <c r="AA38" s="51" t="s">
        <v>39</v>
      </c>
      <c r="AB38" s="26"/>
      <c r="AC38" s="26"/>
    </row>
    <row r="39" ht="28" spans="1:29">
      <c r="A39" s="26"/>
      <c r="B39" s="26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>
        <v>260122</v>
      </c>
      <c r="T39" s="59" t="s">
        <v>30</v>
      </c>
      <c r="U39" s="51" t="s">
        <v>95</v>
      </c>
      <c r="V39" s="72" t="s">
        <v>30</v>
      </c>
      <c r="W39" s="103" t="s">
        <v>134</v>
      </c>
      <c r="X39" s="72" t="s">
        <v>33</v>
      </c>
      <c r="Y39" s="51" t="str">
        <f t="shared" si="0"/>
        <v>260122_NDX550778_RUO_0091_AXXXXXXXXX</v>
      </c>
      <c r="Z39" s="51" t="s">
        <v>97</v>
      </c>
      <c r="AA39" s="51" t="s">
        <v>39</v>
      </c>
      <c r="AB39" s="26"/>
      <c r="AC39" s="26"/>
    </row>
    <row r="40" ht="28" spans="1:29">
      <c r="A40" s="26"/>
      <c r="B40" s="26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>
        <v>260122</v>
      </c>
      <c r="T40" s="59" t="s">
        <v>30</v>
      </c>
      <c r="U40" s="26" t="s">
        <v>98</v>
      </c>
      <c r="V40" s="72" t="s">
        <v>30</v>
      </c>
      <c r="W40" s="102" t="s">
        <v>135</v>
      </c>
      <c r="X40" s="72" t="s">
        <v>33</v>
      </c>
      <c r="Y40" s="51" t="str">
        <f t="shared" si="0"/>
        <v>260122_TPNB500657_0080_AXXXXXXXXX</v>
      </c>
      <c r="Z40" s="51" t="s">
        <v>100</v>
      </c>
      <c r="AA40" s="51" t="s">
        <v>35</v>
      </c>
      <c r="AB40" s="26"/>
      <c r="AC40" s="26"/>
    </row>
    <row r="41" ht="28" spans="1:29">
      <c r="A41" s="26"/>
      <c r="B41" s="26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>
        <v>260122</v>
      </c>
      <c r="T41" s="59" t="s">
        <v>30</v>
      </c>
      <c r="U41" s="26" t="s">
        <v>101</v>
      </c>
      <c r="V41" s="72" t="s">
        <v>30</v>
      </c>
      <c r="W41" s="75" t="s">
        <v>136</v>
      </c>
      <c r="X41" s="72" t="s">
        <v>33</v>
      </c>
      <c r="Y41" s="51" t="str">
        <f t="shared" si="0"/>
        <v>260122_TPNB500530_0100_AXXXXXXXXX</v>
      </c>
      <c r="Z41" s="51" t="s">
        <v>103</v>
      </c>
      <c r="AA41" s="51" t="s">
        <v>35</v>
      </c>
      <c r="AB41" s="26"/>
      <c r="AC41" s="26"/>
    </row>
    <row r="42" ht="28" spans="1:29">
      <c r="A42" s="26"/>
      <c r="B42" s="26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>
        <v>260122</v>
      </c>
      <c r="T42" s="59" t="s">
        <v>30</v>
      </c>
      <c r="U42" s="26" t="s">
        <v>104</v>
      </c>
      <c r="V42" s="72" t="s">
        <v>30</v>
      </c>
      <c r="W42" s="45" t="s">
        <v>137</v>
      </c>
      <c r="X42" s="72" t="s">
        <v>33</v>
      </c>
      <c r="Y42" s="51" t="str">
        <f t="shared" si="0"/>
        <v>260122_TPNB500560_0099_AXXXXXXXXX</v>
      </c>
      <c r="Z42" s="51" t="s">
        <v>106</v>
      </c>
      <c r="AA42" s="51" t="s">
        <v>35</v>
      </c>
      <c r="AB42" s="26"/>
      <c r="AC42" s="26"/>
    </row>
    <row r="43" ht="28" spans="1:29">
      <c r="A43" s="26"/>
      <c r="B43" s="26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>
        <v>260122</v>
      </c>
      <c r="T43" s="59" t="s">
        <v>30</v>
      </c>
      <c r="U43" s="51" t="s">
        <v>36</v>
      </c>
      <c r="V43" s="72" t="s">
        <v>30</v>
      </c>
      <c r="W43" s="102" t="s">
        <v>138</v>
      </c>
      <c r="X43" s="72" t="s">
        <v>33</v>
      </c>
      <c r="Y43" s="51" t="str">
        <f t="shared" si="0"/>
        <v>260122_NDX551406_RUO_0296_AXXXXXXXXX</v>
      </c>
      <c r="Z43" s="51" t="s">
        <v>38</v>
      </c>
      <c r="AA43" s="51" t="s">
        <v>39</v>
      </c>
      <c r="AB43" s="26"/>
      <c r="AC43" s="26"/>
    </row>
    <row r="44" ht="28" spans="1:29">
      <c r="A44" s="26"/>
      <c r="B44" s="26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>
        <v>260122</v>
      </c>
      <c r="T44" s="59" t="s">
        <v>30</v>
      </c>
      <c r="U44" s="51" t="s">
        <v>92</v>
      </c>
      <c r="V44" s="72" t="s">
        <v>30</v>
      </c>
      <c r="W44" s="103" t="s">
        <v>86</v>
      </c>
      <c r="X44" s="72" t="s">
        <v>33</v>
      </c>
      <c r="Y44" s="51" t="str">
        <f t="shared" si="0"/>
        <v>260122_NDX550598_RUO_0072_AXXXXXXXXX</v>
      </c>
      <c r="Z44" s="51" t="s">
        <v>94</v>
      </c>
      <c r="AA44" s="51" t="s">
        <v>39</v>
      </c>
      <c r="AB44" s="26"/>
      <c r="AC44" s="26"/>
    </row>
    <row r="45" ht="28" spans="1:29">
      <c r="A45" s="26"/>
      <c r="B45" s="26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>
        <v>260122</v>
      </c>
      <c r="T45" s="59" t="s">
        <v>30</v>
      </c>
      <c r="U45" s="51" t="s">
        <v>95</v>
      </c>
      <c r="V45" s="72" t="s">
        <v>30</v>
      </c>
      <c r="W45" s="103" t="s">
        <v>139</v>
      </c>
      <c r="X45" s="72" t="s">
        <v>33</v>
      </c>
      <c r="Y45" s="51" t="str">
        <f t="shared" si="0"/>
        <v>260122_NDX550778_RUO_0092_AXXXXXXXXX</v>
      </c>
      <c r="Z45" s="51" t="s">
        <v>97</v>
      </c>
      <c r="AA45" s="51" t="s">
        <v>39</v>
      </c>
      <c r="AB45" s="26"/>
      <c r="AC45" s="26"/>
    </row>
    <row r="46" ht="28" spans="1:29">
      <c r="A46" s="26"/>
      <c r="B46" s="26"/>
      <c r="C46" s="59" t="s">
        <v>72</v>
      </c>
      <c r="D46" s="59" t="s">
        <v>73</v>
      </c>
      <c r="E46" s="59" t="s">
        <v>74</v>
      </c>
      <c r="F46" s="59" t="s">
        <v>73</v>
      </c>
      <c r="G46" s="59" t="s">
        <v>75</v>
      </c>
      <c r="H46" s="59" t="s">
        <v>73</v>
      </c>
      <c r="I46" s="59" t="s">
        <v>140</v>
      </c>
      <c r="J46" s="59" t="s">
        <v>73</v>
      </c>
      <c r="K46" s="59" t="s">
        <v>141</v>
      </c>
      <c r="L46" s="59" t="s">
        <v>77</v>
      </c>
      <c r="M46" s="59" t="s">
        <v>142</v>
      </c>
      <c r="N46" s="59" t="s">
        <v>77</v>
      </c>
      <c r="O46" s="69" t="s">
        <v>143</v>
      </c>
      <c r="P46" s="59" t="s">
        <v>144</v>
      </c>
      <c r="Q46" s="59"/>
      <c r="R46" s="59" t="s">
        <v>145</v>
      </c>
      <c r="S46" s="59">
        <v>260123</v>
      </c>
      <c r="T46" s="59" t="s">
        <v>30</v>
      </c>
      <c r="U46" s="51" t="s">
        <v>31</v>
      </c>
      <c r="V46" s="72" t="s">
        <v>30</v>
      </c>
      <c r="W46" s="102" t="s">
        <v>146</v>
      </c>
      <c r="X46" s="72" t="s">
        <v>33</v>
      </c>
      <c r="Y46" s="51" t="str">
        <f t="shared" si="0"/>
        <v>260123_TPNB500477_0159_AXXXXXXXXX</v>
      </c>
      <c r="Z46" s="51" t="s">
        <v>34</v>
      </c>
      <c r="AA46" s="51" t="s">
        <v>35</v>
      </c>
      <c r="AB46" s="26"/>
      <c r="AC46" s="26"/>
    </row>
    <row r="47" ht="28" spans="1:29">
      <c r="A47" s="26"/>
      <c r="B47" s="26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>
        <v>260123</v>
      </c>
      <c r="T47" s="59" t="s">
        <v>30</v>
      </c>
      <c r="U47" s="51" t="s">
        <v>85</v>
      </c>
      <c r="V47" s="72" t="s">
        <v>30</v>
      </c>
      <c r="W47" s="74" t="s">
        <v>120</v>
      </c>
      <c r="X47" s="72" t="s">
        <v>33</v>
      </c>
      <c r="Y47" s="51" t="str">
        <f t="shared" si="0"/>
        <v>260123_TPNB500597_0078_AXXXXXXXXX</v>
      </c>
      <c r="Z47" s="51" t="s">
        <v>87</v>
      </c>
      <c r="AA47" s="51" t="s">
        <v>35</v>
      </c>
      <c r="AB47" s="26"/>
      <c r="AC47" s="26"/>
    </row>
    <row r="48" ht="28" spans="1:29">
      <c r="A48" s="26"/>
      <c r="B48" s="26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>
        <v>260123</v>
      </c>
      <c r="T48" s="59" t="s">
        <v>30</v>
      </c>
      <c r="U48" s="51" t="s">
        <v>88</v>
      </c>
      <c r="V48" s="72" t="s">
        <v>30</v>
      </c>
      <c r="W48" s="26" t="s">
        <v>134</v>
      </c>
      <c r="X48" s="72" t="s">
        <v>33</v>
      </c>
      <c r="Y48" s="51" t="str">
        <f t="shared" si="0"/>
        <v>260123_TPNB500641_0091_AXXXXXXXXX</v>
      </c>
      <c r="Z48" s="51" t="s">
        <v>90</v>
      </c>
      <c r="AA48" s="51" t="s">
        <v>35</v>
      </c>
      <c r="AB48" s="26"/>
      <c r="AC48" s="26"/>
    </row>
    <row r="49" ht="28" spans="1:29">
      <c r="A49" s="26"/>
      <c r="B49" s="26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>
        <v>260123</v>
      </c>
      <c r="T49" s="59" t="s">
        <v>30</v>
      </c>
      <c r="U49" s="51" t="s">
        <v>36</v>
      </c>
      <c r="V49" s="72" t="s">
        <v>30</v>
      </c>
      <c r="W49" s="102" t="s">
        <v>147</v>
      </c>
      <c r="X49" s="72" t="s">
        <v>33</v>
      </c>
      <c r="Y49" s="51" t="str">
        <f t="shared" si="0"/>
        <v>260123_NDX551406_RUO_0297_AXXXXXXXXX</v>
      </c>
      <c r="Z49" s="51" t="s">
        <v>38</v>
      </c>
      <c r="AA49" s="51" t="s">
        <v>39</v>
      </c>
      <c r="AB49" s="26"/>
      <c r="AC49" s="26"/>
    </row>
    <row r="50" ht="28" spans="1:29">
      <c r="A50" s="26"/>
      <c r="B50" s="26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>
        <v>260123</v>
      </c>
      <c r="T50" s="59" t="s">
        <v>30</v>
      </c>
      <c r="U50" s="51" t="s">
        <v>92</v>
      </c>
      <c r="V50" s="72" t="s">
        <v>30</v>
      </c>
      <c r="W50" s="103" t="s">
        <v>148</v>
      </c>
      <c r="X50" s="72" t="s">
        <v>33</v>
      </c>
      <c r="Y50" s="51" t="str">
        <f t="shared" si="0"/>
        <v>260123_NDX550598_RUO_0073_AXXXXXXXXX</v>
      </c>
      <c r="Z50" s="51" t="s">
        <v>94</v>
      </c>
      <c r="AA50" s="51" t="s">
        <v>39</v>
      </c>
      <c r="AB50" s="26"/>
      <c r="AC50" s="26"/>
    </row>
    <row r="51" ht="28" spans="1:29">
      <c r="A51" s="26"/>
      <c r="B51" s="26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>
        <v>260123</v>
      </c>
      <c r="T51" s="59" t="s">
        <v>30</v>
      </c>
      <c r="U51" s="51" t="s">
        <v>95</v>
      </c>
      <c r="V51" s="72" t="s">
        <v>30</v>
      </c>
      <c r="W51" s="103" t="s">
        <v>149</v>
      </c>
      <c r="X51" s="72" t="s">
        <v>33</v>
      </c>
      <c r="Y51" s="51" t="str">
        <f t="shared" si="0"/>
        <v>260123_NDX550778_RUO_0093_AXXXXXXXXX</v>
      </c>
      <c r="Z51" s="51" t="s">
        <v>97</v>
      </c>
      <c r="AA51" s="51" t="s">
        <v>39</v>
      </c>
      <c r="AB51" s="26"/>
      <c r="AC51" s="26"/>
    </row>
    <row r="52" ht="28" spans="1:29">
      <c r="A52" s="26"/>
      <c r="B52" s="26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>
        <v>260123</v>
      </c>
      <c r="T52" s="59" t="s">
        <v>30</v>
      </c>
      <c r="U52" s="26" t="s">
        <v>98</v>
      </c>
      <c r="V52" s="72" t="s">
        <v>30</v>
      </c>
      <c r="W52" s="102" t="s">
        <v>150</v>
      </c>
      <c r="X52" s="72" t="s">
        <v>33</v>
      </c>
      <c r="Y52" s="51" t="str">
        <f t="shared" si="0"/>
        <v>260123_TPNB500657_0082_AXXXXXXXXX</v>
      </c>
      <c r="Z52" s="51" t="s">
        <v>100</v>
      </c>
      <c r="AA52" s="51" t="s">
        <v>35</v>
      </c>
      <c r="AB52" s="26"/>
      <c r="AC52" s="26"/>
    </row>
    <row r="53" ht="28" spans="1:29">
      <c r="A53" s="26"/>
      <c r="B53" s="26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>
        <v>260123</v>
      </c>
      <c r="T53" s="59" t="s">
        <v>30</v>
      </c>
      <c r="U53" s="26" t="s">
        <v>101</v>
      </c>
      <c r="V53" s="72" t="s">
        <v>30</v>
      </c>
      <c r="W53" s="75" t="s">
        <v>151</v>
      </c>
      <c r="X53" s="72" t="s">
        <v>33</v>
      </c>
      <c r="Y53" s="51" t="str">
        <f t="shared" si="0"/>
        <v>260123_TPNB500530_0102_AXXXXXXXXX</v>
      </c>
      <c r="Z53" s="51" t="s">
        <v>103</v>
      </c>
      <c r="AA53" s="51" t="s">
        <v>35</v>
      </c>
      <c r="AB53" s="26"/>
      <c r="AC53" s="26"/>
    </row>
    <row r="54" ht="28" spans="1:29">
      <c r="A54" s="26"/>
      <c r="B54" s="26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>
        <v>260123</v>
      </c>
      <c r="T54" s="59" t="s">
        <v>30</v>
      </c>
      <c r="U54" s="26" t="s">
        <v>104</v>
      </c>
      <c r="V54" s="72" t="s">
        <v>30</v>
      </c>
      <c r="W54" s="45" t="s">
        <v>152</v>
      </c>
      <c r="X54" s="72" t="s">
        <v>33</v>
      </c>
      <c r="Y54" s="51" t="str">
        <f t="shared" si="0"/>
        <v>260123_TPNB500560_0101_AXXXXXXXXX</v>
      </c>
      <c r="Z54" s="51" t="s">
        <v>106</v>
      </c>
      <c r="AA54" s="51" t="s">
        <v>35</v>
      </c>
      <c r="AB54" s="26"/>
      <c r="AC54" s="26"/>
    </row>
    <row r="55" ht="28" spans="1:29">
      <c r="A55" s="26"/>
      <c r="B55" s="26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>
        <v>260123</v>
      </c>
      <c r="T55" s="59" t="s">
        <v>30</v>
      </c>
      <c r="U55" s="51" t="s">
        <v>36</v>
      </c>
      <c r="V55" s="72" t="s">
        <v>30</v>
      </c>
      <c r="W55" s="102" t="s">
        <v>153</v>
      </c>
      <c r="X55" s="72" t="s">
        <v>33</v>
      </c>
      <c r="Y55" s="51" t="str">
        <f t="shared" si="0"/>
        <v>260123_NDX551406_RUO_0298_AXXXXXXXXX</v>
      </c>
      <c r="Z55" s="51" t="s">
        <v>38</v>
      </c>
      <c r="AA55" s="51" t="s">
        <v>39</v>
      </c>
      <c r="AB55" s="26"/>
      <c r="AC55" s="26"/>
    </row>
    <row r="56" ht="28" spans="1:29">
      <c r="A56" s="26"/>
      <c r="B56" s="26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>
        <v>260123</v>
      </c>
      <c r="T56" s="59" t="s">
        <v>30</v>
      </c>
      <c r="U56" s="51" t="s">
        <v>92</v>
      </c>
      <c r="V56" s="72" t="s">
        <v>30</v>
      </c>
      <c r="W56" s="103" t="s">
        <v>116</v>
      </c>
      <c r="X56" s="72" t="s">
        <v>33</v>
      </c>
      <c r="Y56" s="51" t="str">
        <f t="shared" si="0"/>
        <v>260123_NDX550598_RUO_0074_AXXXXXXXXX</v>
      </c>
      <c r="Z56" s="51" t="s">
        <v>94</v>
      </c>
      <c r="AA56" s="51" t="s">
        <v>39</v>
      </c>
      <c r="AB56" s="26"/>
      <c r="AC56" s="26"/>
    </row>
    <row r="57" ht="28" spans="1:29">
      <c r="A57" s="26"/>
      <c r="B57" s="26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>
        <v>260123</v>
      </c>
      <c r="T57" s="59" t="s">
        <v>30</v>
      </c>
      <c r="U57" s="51" t="s">
        <v>95</v>
      </c>
      <c r="V57" s="72" t="s">
        <v>30</v>
      </c>
      <c r="W57" s="103" t="s">
        <v>154</v>
      </c>
      <c r="X57" s="72" t="s">
        <v>33</v>
      </c>
      <c r="Y57" s="51" t="str">
        <f t="shared" si="0"/>
        <v>260123_NDX550778_RUO_0094_AXXXXXXXXX</v>
      </c>
      <c r="Z57" s="51" t="s">
        <v>97</v>
      </c>
      <c r="AA57" s="51" t="s">
        <v>39</v>
      </c>
      <c r="AB57" s="26"/>
      <c r="AC57" s="26"/>
    </row>
    <row r="58" ht="19" customHeight="1" spans="1:29">
      <c r="A58" s="26"/>
      <c r="B58" s="26"/>
      <c r="C58" s="59" t="s">
        <v>72</v>
      </c>
      <c r="D58" s="59" t="s">
        <v>73</v>
      </c>
      <c r="E58" s="59" t="s">
        <v>74</v>
      </c>
      <c r="F58" s="59" t="s">
        <v>73</v>
      </c>
      <c r="G58" s="59" t="s">
        <v>75</v>
      </c>
      <c r="H58" s="59" t="s">
        <v>73</v>
      </c>
      <c r="I58" s="59" t="s">
        <v>155</v>
      </c>
      <c r="J58" s="59" t="s">
        <v>73</v>
      </c>
      <c r="K58" s="59" t="s">
        <v>156</v>
      </c>
      <c r="L58" s="59" t="s">
        <v>77</v>
      </c>
      <c r="M58" s="59" t="s">
        <v>157</v>
      </c>
      <c r="N58" s="59" t="s">
        <v>77</v>
      </c>
      <c r="O58" s="69" t="s">
        <v>158</v>
      </c>
      <c r="P58" s="59" t="s">
        <v>159</v>
      </c>
      <c r="Q58" s="59"/>
      <c r="R58" s="59" t="s">
        <v>160</v>
      </c>
      <c r="S58" s="59">
        <v>260124</v>
      </c>
      <c r="T58" s="59" t="s">
        <v>30</v>
      </c>
      <c r="U58" s="51" t="s">
        <v>31</v>
      </c>
      <c r="V58" s="72" t="s">
        <v>30</v>
      </c>
      <c r="W58" s="102" t="s">
        <v>161</v>
      </c>
      <c r="X58" s="72" t="s">
        <v>33</v>
      </c>
      <c r="Y58" s="51" t="str">
        <f t="shared" si="0"/>
        <v>260124_TPNB500477_0161_AXXXXXXXXX</v>
      </c>
      <c r="Z58" s="51" t="s">
        <v>34</v>
      </c>
      <c r="AA58" s="51" t="s">
        <v>35</v>
      </c>
      <c r="AB58" s="26"/>
      <c r="AC58" s="26"/>
    </row>
    <row r="59" ht="19" customHeight="1" spans="1:29">
      <c r="A59" s="26"/>
      <c r="B59" s="26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>
        <v>260124</v>
      </c>
      <c r="T59" s="59" t="s">
        <v>30</v>
      </c>
      <c r="U59" s="51" t="s">
        <v>85</v>
      </c>
      <c r="V59" s="72" t="s">
        <v>30</v>
      </c>
      <c r="W59" s="74" t="s">
        <v>135</v>
      </c>
      <c r="X59" s="72" t="s">
        <v>33</v>
      </c>
      <c r="Y59" s="51" t="str">
        <f t="shared" si="0"/>
        <v>260124_TPNB500597_0080_AXXXXXXXXX</v>
      </c>
      <c r="Z59" s="51" t="s">
        <v>87</v>
      </c>
      <c r="AA59" s="51" t="s">
        <v>35</v>
      </c>
      <c r="AB59" s="26"/>
      <c r="AC59" s="26"/>
    </row>
    <row r="60" ht="19" customHeight="1" spans="1:29">
      <c r="A60" s="26"/>
      <c r="B60" s="26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>
        <v>260124</v>
      </c>
      <c r="T60" s="59" t="s">
        <v>30</v>
      </c>
      <c r="U60" s="51" t="s">
        <v>88</v>
      </c>
      <c r="V60" s="72" t="s">
        <v>30</v>
      </c>
      <c r="W60" s="26" t="s">
        <v>149</v>
      </c>
      <c r="X60" s="72" t="s">
        <v>33</v>
      </c>
      <c r="Y60" s="51" t="str">
        <f t="shared" si="0"/>
        <v>260124_TPNB500641_0093_AXXXXXXXXX</v>
      </c>
      <c r="Z60" s="51" t="s">
        <v>90</v>
      </c>
      <c r="AA60" s="51" t="s">
        <v>35</v>
      </c>
      <c r="AB60" s="26"/>
      <c r="AC60" s="26"/>
    </row>
    <row r="61" ht="19" customHeight="1" spans="1:29">
      <c r="A61" s="26"/>
      <c r="B61" s="26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>
        <v>260124</v>
      </c>
      <c r="T61" s="59" t="s">
        <v>30</v>
      </c>
      <c r="U61" s="51" t="s">
        <v>36</v>
      </c>
      <c r="V61" s="72" t="s">
        <v>30</v>
      </c>
      <c r="W61" s="102" t="s">
        <v>162</v>
      </c>
      <c r="X61" s="72" t="s">
        <v>33</v>
      </c>
      <c r="Y61" s="51" t="str">
        <f t="shared" si="0"/>
        <v>260124_NDX551406_RUO_0299_AXXXXXXXXX</v>
      </c>
      <c r="Z61" s="51" t="s">
        <v>38</v>
      </c>
      <c r="AA61" s="51" t="s">
        <v>39</v>
      </c>
      <c r="AB61" s="26"/>
      <c r="AC61" s="26"/>
    </row>
    <row r="62" ht="19" customHeight="1" spans="1:29">
      <c r="A62" s="26"/>
      <c r="B62" s="26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>
        <v>260124</v>
      </c>
      <c r="T62" s="59" t="s">
        <v>30</v>
      </c>
      <c r="U62" s="51" t="s">
        <v>92</v>
      </c>
      <c r="V62" s="72" t="s">
        <v>30</v>
      </c>
      <c r="W62" s="103" t="s">
        <v>163</v>
      </c>
      <c r="X62" s="72" t="s">
        <v>33</v>
      </c>
      <c r="Y62" s="51" t="str">
        <f t="shared" si="0"/>
        <v>260124_NDX550598_RUO_0075_AXXXXXXXXX</v>
      </c>
      <c r="Z62" s="51" t="s">
        <v>94</v>
      </c>
      <c r="AA62" s="51" t="s">
        <v>39</v>
      </c>
      <c r="AB62" s="26"/>
      <c r="AC62" s="26"/>
    </row>
    <row r="63" ht="19" customHeight="1" spans="1:29">
      <c r="A63" s="26"/>
      <c r="B63" s="26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>
        <v>260124</v>
      </c>
      <c r="T63" s="59" t="s">
        <v>30</v>
      </c>
      <c r="U63" s="51" t="s">
        <v>95</v>
      </c>
      <c r="V63" s="72" t="s">
        <v>30</v>
      </c>
      <c r="W63" s="103" t="s">
        <v>105</v>
      </c>
      <c r="X63" s="72" t="s">
        <v>33</v>
      </c>
      <c r="Y63" s="51" t="str">
        <f t="shared" si="0"/>
        <v>260124_NDX550778_RUO_0095_AXXXXXXXXX</v>
      </c>
      <c r="Z63" s="51" t="s">
        <v>97</v>
      </c>
      <c r="AA63" s="51" t="s">
        <v>39</v>
      </c>
      <c r="AB63" s="26"/>
      <c r="AC63" s="26"/>
    </row>
    <row r="64" ht="19" customHeight="1" spans="1:29">
      <c r="A64" s="26"/>
      <c r="B64" s="26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>
        <v>260124</v>
      </c>
      <c r="T64" s="59" t="s">
        <v>30</v>
      </c>
      <c r="U64" s="26" t="s">
        <v>98</v>
      </c>
      <c r="V64" s="72" t="s">
        <v>30</v>
      </c>
      <c r="W64" s="102" t="s">
        <v>164</v>
      </c>
      <c r="X64" s="72" t="s">
        <v>33</v>
      </c>
      <c r="Y64" s="51" t="str">
        <f t="shared" si="0"/>
        <v>260124_TPNB500657_0084_AXXXXXXXXX</v>
      </c>
      <c r="Z64" s="51" t="s">
        <v>100</v>
      </c>
      <c r="AA64" s="51" t="s">
        <v>35</v>
      </c>
      <c r="AB64" s="26"/>
      <c r="AC64" s="26"/>
    </row>
    <row r="65" ht="19" customHeight="1" spans="1:29">
      <c r="A65" s="26"/>
      <c r="B65" s="26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>
        <v>260124</v>
      </c>
      <c r="T65" s="59" t="s">
        <v>30</v>
      </c>
      <c r="U65" s="26" t="s">
        <v>101</v>
      </c>
      <c r="V65" s="72" t="s">
        <v>30</v>
      </c>
      <c r="W65" s="75" t="s">
        <v>165</v>
      </c>
      <c r="X65" s="72" t="s">
        <v>33</v>
      </c>
      <c r="Y65" s="51" t="str">
        <f t="shared" si="0"/>
        <v>260124_TPNB500530_0104_AXXXXXXXXX</v>
      </c>
      <c r="Z65" s="51" t="s">
        <v>103</v>
      </c>
      <c r="AA65" s="51" t="s">
        <v>35</v>
      </c>
      <c r="AB65" s="26"/>
      <c r="AC65" s="26"/>
    </row>
    <row r="66" ht="19" customHeight="1" spans="1:29">
      <c r="A66" s="26"/>
      <c r="B66" s="26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>
        <v>260124</v>
      </c>
      <c r="T66" s="59" t="s">
        <v>30</v>
      </c>
      <c r="U66" s="26" t="s">
        <v>104</v>
      </c>
      <c r="V66" s="72" t="s">
        <v>30</v>
      </c>
      <c r="W66" s="45" t="s">
        <v>166</v>
      </c>
      <c r="X66" s="72" t="s">
        <v>33</v>
      </c>
      <c r="Y66" s="51" t="str">
        <f t="shared" ref="Y66:Y129" si="1">S66&amp;T66&amp;U66&amp;V66&amp;W66&amp;X66</f>
        <v>260124_TPNB500560_0103_AXXXXXXXXX</v>
      </c>
      <c r="Z66" s="51" t="s">
        <v>106</v>
      </c>
      <c r="AA66" s="51" t="s">
        <v>35</v>
      </c>
      <c r="AB66" s="26"/>
      <c r="AC66" s="26"/>
    </row>
    <row r="67" ht="19" customHeight="1" spans="1:29">
      <c r="A67" s="26"/>
      <c r="B67" s="26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>
        <v>260124</v>
      </c>
      <c r="T67" s="59" t="s">
        <v>30</v>
      </c>
      <c r="U67" s="51" t="s">
        <v>36</v>
      </c>
      <c r="V67" s="72" t="s">
        <v>30</v>
      </c>
      <c r="W67" s="102" t="s">
        <v>167</v>
      </c>
      <c r="X67" s="72" t="s">
        <v>33</v>
      </c>
      <c r="Y67" s="51" t="str">
        <f t="shared" si="1"/>
        <v>260124_NDX551406_RUO_0300_AXXXXXXXXX</v>
      </c>
      <c r="Z67" s="51" t="s">
        <v>38</v>
      </c>
      <c r="AA67" s="51" t="s">
        <v>39</v>
      </c>
      <c r="AB67" s="26"/>
      <c r="AC67" s="26"/>
    </row>
    <row r="68" ht="19" customHeight="1" spans="1:29">
      <c r="A68" s="26"/>
      <c r="B68" s="26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>
        <v>260124</v>
      </c>
      <c r="T68" s="59" t="s">
        <v>30</v>
      </c>
      <c r="U68" s="51" t="s">
        <v>92</v>
      </c>
      <c r="V68" s="72" t="s">
        <v>30</v>
      </c>
      <c r="W68" s="103" t="s">
        <v>99</v>
      </c>
      <c r="X68" s="72" t="s">
        <v>33</v>
      </c>
      <c r="Y68" s="51" t="str">
        <f t="shared" si="1"/>
        <v>260124_NDX550598_RUO_0076_AXXXXXXXXX</v>
      </c>
      <c r="Z68" s="51" t="s">
        <v>94</v>
      </c>
      <c r="AA68" s="51" t="s">
        <v>39</v>
      </c>
      <c r="AB68" s="26"/>
      <c r="AC68" s="26"/>
    </row>
    <row r="69" ht="19" customHeight="1" spans="1:29">
      <c r="A69" s="26"/>
      <c r="B69" s="26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>
        <v>260124</v>
      </c>
      <c r="T69" s="59" t="s">
        <v>30</v>
      </c>
      <c r="U69" s="51" t="s">
        <v>95</v>
      </c>
      <c r="V69" s="72" t="s">
        <v>30</v>
      </c>
      <c r="W69" s="103" t="s">
        <v>102</v>
      </c>
      <c r="X69" s="72" t="s">
        <v>33</v>
      </c>
      <c r="Y69" s="51" t="str">
        <f t="shared" si="1"/>
        <v>260124_NDX550778_RUO_0096_AXXXXXXXXX</v>
      </c>
      <c r="Z69" s="51" t="s">
        <v>97</v>
      </c>
      <c r="AA69" s="51" t="s">
        <v>39</v>
      </c>
      <c r="AB69" s="26"/>
      <c r="AC69" s="26"/>
    </row>
    <row r="70" ht="28" spans="1:29">
      <c r="A70" s="26"/>
      <c r="B70" s="26"/>
      <c r="C70" s="59" t="s">
        <v>72</v>
      </c>
      <c r="D70" s="59" t="s">
        <v>73</v>
      </c>
      <c r="E70" s="59" t="s">
        <v>74</v>
      </c>
      <c r="F70" s="59" t="s">
        <v>73</v>
      </c>
      <c r="G70" s="59" t="s">
        <v>75</v>
      </c>
      <c r="H70" s="59" t="s">
        <v>73</v>
      </c>
      <c r="I70" s="59" t="s">
        <v>168</v>
      </c>
      <c r="J70" s="59" t="s">
        <v>73</v>
      </c>
      <c r="K70" s="59" t="s">
        <v>169</v>
      </c>
      <c r="L70" s="59" t="s">
        <v>77</v>
      </c>
      <c r="M70" s="59" t="s">
        <v>170</v>
      </c>
      <c r="N70" s="59" t="s">
        <v>77</v>
      </c>
      <c r="O70" s="69" t="s">
        <v>171</v>
      </c>
      <c r="P70" s="59" t="s">
        <v>159</v>
      </c>
      <c r="Q70" s="59"/>
      <c r="R70" s="59" t="s">
        <v>172</v>
      </c>
      <c r="S70" s="59">
        <v>260125</v>
      </c>
      <c r="T70" s="59" t="s">
        <v>30</v>
      </c>
      <c r="U70" s="51" t="s">
        <v>31</v>
      </c>
      <c r="V70" s="72" t="s">
        <v>30</v>
      </c>
      <c r="W70" s="102" t="s">
        <v>173</v>
      </c>
      <c r="X70" s="72" t="s">
        <v>33</v>
      </c>
      <c r="Y70" s="51" t="str">
        <f t="shared" si="1"/>
        <v>260125_TPNB500477_0163_AXXXXXXXXX</v>
      </c>
      <c r="Z70" s="51" t="s">
        <v>34</v>
      </c>
      <c r="AA70" s="51" t="s">
        <v>35</v>
      </c>
      <c r="AB70" s="26"/>
      <c r="AC70" s="26"/>
    </row>
    <row r="71" ht="28" spans="1:29">
      <c r="A71" s="26"/>
      <c r="B71" s="26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>
        <v>260125</v>
      </c>
      <c r="T71" s="59" t="s">
        <v>30</v>
      </c>
      <c r="U71" s="51" t="s">
        <v>85</v>
      </c>
      <c r="V71" s="72" t="s">
        <v>30</v>
      </c>
      <c r="W71" s="74" t="s">
        <v>150</v>
      </c>
      <c r="X71" s="72" t="s">
        <v>33</v>
      </c>
      <c r="Y71" s="51" t="str">
        <f t="shared" si="1"/>
        <v>260125_TPNB500597_0082_AXXXXXXXXX</v>
      </c>
      <c r="Z71" s="51" t="s">
        <v>87</v>
      </c>
      <c r="AA71" s="51" t="s">
        <v>35</v>
      </c>
      <c r="AB71" s="26"/>
      <c r="AC71" s="26"/>
    </row>
    <row r="72" ht="28" spans="1:29">
      <c r="A72" s="26"/>
      <c r="B72" s="26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>
        <v>260125</v>
      </c>
      <c r="T72" s="59" t="s">
        <v>30</v>
      </c>
      <c r="U72" s="51" t="s">
        <v>88</v>
      </c>
      <c r="V72" s="72" t="s">
        <v>30</v>
      </c>
      <c r="W72" s="26" t="s">
        <v>105</v>
      </c>
      <c r="X72" s="72" t="s">
        <v>33</v>
      </c>
      <c r="Y72" s="51" t="str">
        <f t="shared" si="1"/>
        <v>260125_TPNB500641_0095_AXXXXXXXXX</v>
      </c>
      <c r="Z72" s="51" t="s">
        <v>90</v>
      </c>
      <c r="AA72" s="51" t="s">
        <v>35</v>
      </c>
      <c r="AB72" s="26"/>
      <c r="AC72" s="26"/>
    </row>
    <row r="73" ht="28" spans="1:29">
      <c r="A73" s="26"/>
      <c r="B73" s="26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>
        <v>260125</v>
      </c>
      <c r="T73" s="59" t="s">
        <v>30</v>
      </c>
      <c r="U73" s="51" t="s">
        <v>36</v>
      </c>
      <c r="V73" s="72" t="s">
        <v>30</v>
      </c>
      <c r="W73" s="102" t="s">
        <v>174</v>
      </c>
      <c r="X73" s="72" t="s">
        <v>33</v>
      </c>
      <c r="Y73" s="51" t="str">
        <f t="shared" si="1"/>
        <v>260125_NDX551406_RUO_0301_AXXXXXXXXX</v>
      </c>
      <c r="Z73" s="51" t="s">
        <v>38</v>
      </c>
      <c r="AA73" s="51" t="s">
        <v>39</v>
      </c>
      <c r="AB73" s="26"/>
      <c r="AC73" s="26"/>
    </row>
    <row r="74" ht="28" spans="1:29">
      <c r="A74" s="26"/>
      <c r="B74" s="26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>
        <v>260125</v>
      </c>
      <c r="T74" s="59" t="s">
        <v>30</v>
      </c>
      <c r="U74" s="51" t="s">
        <v>92</v>
      </c>
      <c r="V74" s="72" t="s">
        <v>30</v>
      </c>
      <c r="W74" s="103" t="s">
        <v>175</v>
      </c>
      <c r="X74" s="72" t="s">
        <v>33</v>
      </c>
      <c r="Y74" s="51" t="str">
        <f t="shared" si="1"/>
        <v>260125_NDX550598_RUO_0077_AXXXXXXXXX</v>
      </c>
      <c r="Z74" s="51" t="s">
        <v>94</v>
      </c>
      <c r="AA74" s="51" t="s">
        <v>39</v>
      </c>
      <c r="AB74" s="26"/>
      <c r="AC74" s="26"/>
    </row>
    <row r="75" ht="28" spans="1:29">
      <c r="A75" s="26"/>
      <c r="B75" s="26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>
        <v>260125</v>
      </c>
      <c r="T75" s="59" t="s">
        <v>30</v>
      </c>
      <c r="U75" s="51" t="s">
        <v>95</v>
      </c>
      <c r="V75" s="72" t="s">
        <v>30</v>
      </c>
      <c r="W75" s="103" t="s">
        <v>122</v>
      </c>
      <c r="X75" s="72" t="s">
        <v>33</v>
      </c>
      <c r="Y75" s="51" t="str">
        <f t="shared" si="1"/>
        <v>260125_NDX550778_RUO_0097_AXXXXXXXXX</v>
      </c>
      <c r="Z75" s="51" t="s">
        <v>97</v>
      </c>
      <c r="AA75" s="51" t="s">
        <v>39</v>
      </c>
      <c r="AB75" s="26"/>
      <c r="AC75" s="26"/>
    </row>
    <row r="76" ht="28" spans="1:29">
      <c r="A76" s="26"/>
      <c r="B76" s="26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>
        <v>260125</v>
      </c>
      <c r="T76" s="59" t="s">
        <v>30</v>
      </c>
      <c r="U76" s="26" t="s">
        <v>98</v>
      </c>
      <c r="V76" s="72" t="s">
        <v>30</v>
      </c>
      <c r="W76" s="102" t="s">
        <v>176</v>
      </c>
      <c r="X76" s="72" t="s">
        <v>33</v>
      </c>
      <c r="Y76" s="51" t="str">
        <f t="shared" si="1"/>
        <v>260125_TPNB500657_0086_AXXXXXXXXX</v>
      </c>
      <c r="Z76" s="51" t="s">
        <v>100</v>
      </c>
      <c r="AA76" s="51" t="s">
        <v>35</v>
      </c>
      <c r="AB76" s="26"/>
      <c r="AC76" s="26"/>
    </row>
    <row r="77" ht="28" spans="1:29">
      <c r="A77" s="26"/>
      <c r="B77" s="26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>
        <v>260125</v>
      </c>
      <c r="T77" s="59" t="s">
        <v>30</v>
      </c>
      <c r="U77" s="26" t="s">
        <v>101</v>
      </c>
      <c r="V77" s="72" t="s">
        <v>30</v>
      </c>
      <c r="W77" s="75" t="s">
        <v>177</v>
      </c>
      <c r="X77" s="72" t="s">
        <v>33</v>
      </c>
      <c r="Y77" s="51" t="str">
        <f t="shared" si="1"/>
        <v>260125_TPNB500530_0106_AXXXXXXXXX</v>
      </c>
      <c r="Z77" s="51" t="s">
        <v>103</v>
      </c>
      <c r="AA77" s="51" t="s">
        <v>35</v>
      </c>
      <c r="AB77" s="26"/>
      <c r="AC77" s="26"/>
    </row>
    <row r="78" ht="28" spans="1:29">
      <c r="A78" s="26"/>
      <c r="B78" s="26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>
        <v>260125</v>
      </c>
      <c r="T78" s="59" t="s">
        <v>30</v>
      </c>
      <c r="U78" s="26" t="s">
        <v>104</v>
      </c>
      <c r="V78" s="72" t="s">
        <v>30</v>
      </c>
      <c r="W78" s="45" t="s">
        <v>178</v>
      </c>
      <c r="X78" s="72" t="s">
        <v>33</v>
      </c>
      <c r="Y78" s="51" t="str">
        <f t="shared" si="1"/>
        <v>260125_TPNB500560_0105_AXXXXXXXXX</v>
      </c>
      <c r="Z78" s="51" t="s">
        <v>106</v>
      </c>
      <c r="AA78" s="51" t="s">
        <v>35</v>
      </c>
      <c r="AB78" s="26"/>
      <c r="AC78" s="26"/>
    </row>
    <row r="79" ht="28" spans="1:29">
      <c r="A79" s="26"/>
      <c r="B79" s="26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>
        <v>260125</v>
      </c>
      <c r="T79" s="59" t="s">
        <v>30</v>
      </c>
      <c r="U79" s="51" t="s">
        <v>36</v>
      </c>
      <c r="V79" s="72" t="s">
        <v>30</v>
      </c>
      <c r="W79" s="102" t="s">
        <v>179</v>
      </c>
      <c r="X79" s="72" t="s">
        <v>33</v>
      </c>
      <c r="Y79" s="51" t="str">
        <f t="shared" si="1"/>
        <v>260125_NDX551406_RUO_0302_AXXXXXXXXX</v>
      </c>
      <c r="Z79" s="51" t="s">
        <v>38</v>
      </c>
      <c r="AA79" s="51" t="s">
        <v>39</v>
      </c>
      <c r="AB79" s="26"/>
      <c r="AC79" s="26"/>
    </row>
    <row r="80" ht="28" spans="1:29">
      <c r="A80" s="26"/>
      <c r="B80" s="26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>
        <v>260125</v>
      </c>
      <c r="T80" s="59" t="s">
        <v>30</v>
      </c>
      <c r="U80" s="51" t="s">
        <v>92</v>
      </c>
      <c r="V80" s="72" t="s">
        <v>30</v>
      </c>
      <c r="W80" s="103" t="s">
        <v>120</v>
      </c>
      <c r="X80" s="72" t="s">
        <v>33</v>
      </c>
      <c r="Y80" s="51" t="str">
        <f t="shared" si="1"/>
        <v>260125_NDX550598_RUO_0078_AXXXXXXXXX</v>
      </c>
      <c r="Z80" s="51" t="s">
        <v>94</v>
      </c>
      <c r="AA80" s="51" t="s">
        <v>39</v>
      </c>
      <c r="AB80" s="26"/>
      <c r="AC80" s="26"/>
    </row>
    <row r="81" ht="28" spans="1:29">
      <c r="A81" s="26"/>
      <c r="B81" s="26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>
        <v>260125</v>
      </c>
      <c r="T81" s="59" t="s">
        <v>30</v>
      </c>
      <c r="U81" s="51" t="s">
        <v>95</v>
      </c>
      <c r="V81" s="72" t="s">
        <v>30</v>
      </c>
      <c r="W81" s="103" t="s">
        <v>121</v>
      </c>
      <c r="X81" s="72" t="s">
        <v>33</v>
      </c>
      <c r="Y81" s="51" t="str">
        <f t="shared" si="1"/>
        <v>260125_NDX550778_RUO_0098_AXXXXXXXXX</v>
      </c>
      <c r="Z81" s="51" t="s">
        <v>97</v>
      </c>
      <c r="AA81" s="51" t="s">
        <v>39</v>
      </c>
      <c r="AB81" s="26"/>
      <c r="AC81" s="26"/>
    </row>
    <row r="82" ht="28" spans="1:29">
      <c r="A82" s="26"/>
      <c r="B82" s="26"/>
      <c r="C82" s="59" t="s">
        <v>72</v>
      </c>
      <c r="D82" s="59" t="s">
        <v>73</v>
      </c>
      <c r="E82" s="59" t="s">
        <v>74</v>
      </c>
      <c r="F82" s="59" t="s">
        <v>73</v>
      </c>
      <c r="G82" s="59" t="s">
        <v>75</v>
      </c>
      <c r="H82" s="59" t="s">
        <v>73</v>
      </c>
      <c r="I82" s="59" t="s">
        <v>180</v>
      </c>
      <c r="J82" s="59" t="s">
        <v>73</v>
      </c>
      <c r="K82" s="59" t="s">
        <v>181</v>
      </c>
      <c r="L82" s="59" t="s">
        <v>77</v>
      </c>
      <c r="M82" s="59" t="s">
        <v>182</v>
      </c>
      <c r="N82" s="59" t="s">
        <v>77</v>
      </c>
      <c r="O82" s="69" t="s">
        <v>183</v>
      </c>
      <c r="P82" s="59" t="s">
        <v>159</v>
      </c>
      <c r="Q82" s="59"/>
      <c r="R82" s="59" t="s">
        <v>184</v>
      </c>
      <c r="S82" s="59">
        <v>260126</v>
      </c>
      <c r="T82" s="59" t="s">
        <v>30</v>
      </c>
      <c r="U82" s="51" t="s">
        <v>31</v>
      </c>
      <c r="V82" s="72" t="s">
        <v>30</v>
      </c>
      <c r="W82" s="102" t="s">
        <v>185</v>
      </c>
      <c r="X82" s="72" t="s">
        <v>33</v>
      </c>
      <c r="Y82" s="51" t="str">
        <f t="shared" si="1"/>
        <v>260126_TPNB500477_0165_AXXXXXXXXX</v>
      </c>
      <c r="Z82" s="51" t="s">
        <v>34</v>
      </c>
      <c r="AA82" s="51" t="s">
        <v>35</v>
      </c>
      <c r="AB82" s="26"/>
      <c r="AC82" s="26"/>
    </row>
    <row r="83" ht="28" spans="1:29">
      <c r="A83" s="26"/>
      <c r="B83" s="26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>
        <v>260126</v>
      </c>
      <c r="T83" s="59" t="s">
        <v>30</v>
      </c>
      <c r="U83" s="51" t="s">
        <v>85</v>
      </c>
      <c r="V83" s="72" t="s">
        <v>30</v>
      </c>
      <c r="W83" s="74" t="s">
        <v>164</v>
      </c>
      <c r="X83" s="72" t="s">
        <v>33</v>
      </c>
      <c r="Y83" s="51" t="str">
        <f t="shared" si="1"/>
        <v>260126_TPNB500597_0084_AXXXXXXXXX</v>
      </c>
      <c r="Z83" s="51" t="s">
        <v>87</v>
      </c>
      <c r="AA83" s="51" t="s">
        <v>35</v>
      </c>
      <c r="AB83" s="26"/>
      <c r="AC83" s="26"/>
    </row>
    <row r="84" ht="28" spans="1:29">
      <c r="A84" s="26"/>
      <c r="B84" s="26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>
        <v>260126</v>
      </c>
      <c r="T84" s="59" t="s">
        <v>30</v>
      </c>
      <c r="U84" s="51" t="s">
        <v>88</v>
      </c>
      <c r="V84" s="72" t="s">
        <v>30</v>
      </c>
      <c r="W84" s="26" t="s">
        <v>122</v>
      </c>
      <c r="X84" s="72" t="s">
        <v>33</v>
      </c>
      <c r="Y84" s="51" t="str">
        <f t="shared" si="1"/>
        <v>260126_TPNB500641_0097_AXXXXXXXXX</v>
      </c>
      <c r="Z84" s="51" t="s">
        <v>90</v>
      </c>
      <c r="AA84" s="51" t="s">
        <v>35</v>
      </c>
      <c r="AB84" s="26"/>
      <c r="AC84" s="26"/>
    </row>
    <row r="85" ht="28" spans="1:29">
      <c r="A85" s="26"/>
      <c r="B85" s="26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>
        <v>260126</v>
      </c>
      <c r="T85" s="59" t="s">
        <v>30</v>
      </c>
      <c r="U85" s="51" t="s">
        <v>36</v>
      </c>
      <c r="V85" s="72" t="s">
        <v>30</v>
      </c>
      <c r="W85" s="102" t="s">
        <v>186</v>
      </c>
      <c r="X85" s="72" t="s">
        <v>33</v>
      </c>
      <c r="Y85" s="51" t="str">
        <f t="shared" si="1"/>
        <v>260126_NDX551406_RUO_0303_AXXXXXXXXX</v>
      </c>
      <c r="Z85" s="51" t="s">
        <v>38</v>
      </c>
      <c r="AA85" s="51" t="s">
        <v>39</v>
      </c>
      <c r="AB85" s="26"/>
      <c r="AC85" s="26"/>
    </row>
    <row r="86" ht="28" spans="1:29">
      <c r="A86" s="26"/>
      <c r="B86" s="26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>
        <v>260126</v>
      </c>
      <c r="T86" s="59" t="s">
        <v>30</v>
      </c>
      <c r="U86" s="51" t="s">
        <v>92</v>
      </c>
      <c r="V86" s="72" t="s">
        <v>30</v>
      </c>
      <c r="W86" s="103" t="s">
        <v>187</v>
      </c>
      <c r="X86" s="72" t="s">
        <v>33</v>
      </c>
      <c r="Y86" s="51" t="str">
        <f t="shared" si="1"/>
        <v>260126_NDX550598_RUO_0079_AXXXXXXXXX</v>
      </c>
      <c r="Z86" s="51" t="s">
        <v>94</v>
      </c>
      <c r="AA86" s="51" t="s">
        <v>39</v>
      </c>
      <c r="AB86" s="26"/>
      <c r="AC86" s="26"/>
    </row>
    <row r="87" ht="28" spans="1:29">
      <c r="A87" s="26"/>
      <c r="B87" s="26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>
        <v>260126</v>
      </c>
      <c r="T87" s="59" t="s">
        <v>30</v>
      </c>
      <c r="U87" s="51" t="s">
        <v>95</v>
      </c>
      <c r="V87" s="72" t="s">
        <v>30</v>
      </c>
      <c r="W87" s="103" t="s">
        <v>137</v>
      </c>
      <c r="X87" s="72" t="s">
        <v>33</v>
      </c>
      <c r="Y87" s="51" t="str">
        <f t="shared" si="1"/>
        <v>260126_NDX550778_RUO_0099_AXXXXXXXXX</v>
      </c>
      <c r="Z87" s="51" t="s">
        <v>97</v>
      </c>
      <c r="AA87" s="51" t="s">
        <v>39</v>
      </c>
      <c r="AB87" s="26"/>
      <c r="AC87" s="26"/>
    </row>
    <row r="88" ht="28" spans="1:29">
      <c r="A88" s="26"/>
      <c r="B88" s="26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>
        <v>260126</v>
      </c>
      <c r="T88" s="59" t="s">
        <v>30</v>
      </c>
      <c r="U88" s="26" t="s">
        <v>98</v>
      </c>
      <c r="V88" s="72" t="s">
        <v>30</v>
      </c>
      <c r="W88" s="102" t="s">
        <v>109</v>
      </c>
      <c r="X88" s="72" t="s">
        <v>33</v>
      </c>
      <c r="Y88" s="51" t="str">
        <f t="shared" si="1"/>
        <v>260126_TPNB500657_0088_AXXXXXXXXX</v>
      </c>
      <c r="Z88" s="51" t="s">
        <v>100</v>
      </c>
      <c r="AA88" s="51" t="s">
        <v>35</v>
      </c>
      <c r="AB88" s="26"/>
      <c r="AC88" s="26"/>
    </row>
    <row r="89" ht="28" spans="1:29">
      <c r="A89" s="26"/>
      <c r="B89" s="26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>
        <v>260126</v>
      </c>
      <c r="T89" s="59" t="s">
        <v>30</v>
      </c>
      <c r="U89" s="26" t="s">
        <v>101</v>
      </c>
      <c r="V89" s="72" t="s">
        <v>30</v>
      </c>
      <c r="W89" s="75" t="s">
        <v>188</v>
      </c>
      <c r="X89" s="72" t="s">
        <v>33</v>
      </c>
      <c r="Y89" s="51" t="str">
        <f t="shared" si="1"/>
        <v>260126_TPNB500530_0108_AXXXXXXXXX</v>
      </c>
      <c r="Z89" s="51" t="s">
        <v>103</v>
      </c>
      <c r="AA89" s="51" t="s">
        <v>35</v>
      </c>
      <c r="AB89" s="26"/>
      <c r="AC89" s="26"/>
    </row>
    <row r="90" ht="28" spans="1:29">
      <c r="A90" s="26"/>
      <c r="B90" s="26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>
        <v>260126</v>
      </c>
      <c r="T90" s="59" t="s">
        <v>30</v>
      </c>
      <c r="U90" s="26" t="s">
        <v>104</v>
      </c>
      <c r="V90" s="72" t="s">
        <v>30</v>
      </c>
      <c r="W90" s="45" t="s">
        <v>189</v>
      </c>
      <c r="X90" s="72" t="s">
        <v>33</v>
      </c>
      <c r="Y90" s="51" t="str">
        <f t="shared" si="1"/>
        <v>260126_TPNB500560_0107_AXXXXXXXXX</v>
      </c>
      <c r="Z90" s="51" t="s">
        <v>106</v>
      </c>
      <c r="AA90" s="51" t="s">
        <v>35</v>
      </c>
      <c r="AB90" s="26"/>
      <c r="AC90" s="26"/>
    </row>
    <row r="91" ht="28" spans="1:29">
      <c r="A91" s="26"/>
      <c r="B91" s="26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>
        <v>260126</v>
      </c>
      <c r="T91" s="59" t="s">
        <v>30</v>
      </c>
      <c r="U91" s="51" t="s">
        <v>36</v>
      </c>
      <c r="V91" s="72" t="s">
        <v>30</v>
      </c>
      <c r="W91" s="102" t="s">
        <v>190</v>
      </c>
      <c r="X91" s="72" t="s">
        <v>33</v>
      </c>
      <c r="Y91" s="51" t="str">
        <f t="shared" si="1"/>
        <v>260126_NDX551406_RUO_0304_AXXXXXXXXX</v>
      </c>
      <c r="Z91" s="51" t="s">
        <v>38</v>
      </c>
      <c r="AA91" s="51" t="s">
        <v>39</v>
      </c>
      <c r="AB91" s="26"/>
      <c r="AC91" s="26"/>
    </row>
    <row r="92" ht="28" spans="1:29">
      <c r="A92" s="26"/>
      <c r="B92" s="26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>
        <v>260126</v>
      </c>
      <c r="T92" s="59" t="s">
        <v>30</v>
      </c>
      <c r="U92" s="51" t="s">
        <v>92</v>
      </c>
      <c r="V92" s="72" t="s">
        <v>30</v>
      </c>
      <c r="W92" s="103" t="s">
        <v>135</v>
      </c>
      <c r="X92" s="72" t="s">
        <v>33</v>
      </c>
      <c r="Y92" s="51" t="str">
        <f t="shared" si="1"/>
        <v>260126_NDX550598_RUO_0080_AXXXXXXXXX</v>
      </c>
      <c r="Z92" s="51" t="s">
        <v>94</v>
      </c>
      <c r="AA92" s="51" t="s">
        <v>39</v>
      </c>
      <c r="AB92" s="26"/>
      <c r="AC92" s="26"/>
    </row>
    <row r="93" ht="28" spans="1:29">
      <c r="A93" s="26"/>
      <c r="B93" s="26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>
        <v>260126</v>
      </c>
      <c r="T93" s="59" t="s">
        <v>30</v>
      </c>
      <c r="U93" s="51" t="s">
        <v>95</v>
      </c>
      <c r="V93" s="72" t="s">
        <v>30</v>
      </c>
      <c r="W93" s="103" t="s">
        <v>136</v>
      </c>
      <c r="X93" s="72" t="s">
        <v>33</v>
      </c>
      <c r="Y93" s="51" t="str">
        <f t="shared" si="1"/>
        <v>260126_NDX550778_RUO_0100_AXXXXXXXXX</v>
      </c>
      <c r="Z93" s="51" t="s">
        <v>97</v>
      </c>
      <c r="AA93" s="51" t="s">
        <v>39</v>
      </c>
      <c r="AB93" s="26"/>
      <c r="AC93" s="26"/>
    </row>
    <row r="94" ht="28" spans="1:29">
      <c r="A94" s="26"/>
      <c r="B94" s="26"/>
      <c r="C94" s="59" t="s">
        <v>72</v>
      </c>
      <c r="D94" s="59" t="s">
        <v>73</v>
      </c>
      <c r="E94" s="59" t="s">
        <v>74</v>
      </c>
      <c r="F94" s="59" t="s">
        <v>73</v>
      </c>
      <c r="G94" s="59" t="s">
        <v>75</v>
      </c>
      <c r="H94" s="59" t="s">
        <v>73</v>
      </c>
      <c r="I94" s="59" t="s">
        <v>191</v>
      </c>
      <c r="J94" s="59" t="s">
        <v>73</v>
      </c>
      <c r="K94" s="59" t="s">
        <v>192</v>
      </c>
      <c r="L94" s="59" t="s">
        <v>77</v>
      </c>
      <c r="M94" s="59" t="s">
        <v>193</v>
      </c>
      <c r="N94" s="59" t="s">
        <v>77</v>
      </c>
      <c r="O94" s="69" t="s">
        <v>194</v>
      </c>
      <c r="P94" s="59" t="s">
        <v>195</v>
      </c>
      <c r="Q94" s="59"/>
      <c r="R94" s="59" t="s">
        <v>196</v>
      </c>
      <c r="S94" s="59">
        <v>260127</v>
      </c>
      <c r="T94" s="59" t="s">
        <v>30</v>
      </c>
      <c r="U94" s="51" t="s">
        <v>31</v>
      </c>
      <c r="V94" s="72" t="s">
        <v>30</v>
      </c>
      <c r="W94" s="102" t="s">
        <v>197</v>
      </c>
      <c r="X94" s="72" t="s">
        <v>33</v>
      </c>
      <c r="Y94" s="51" t="str">
        <f t="shared" si="1"/>
        <v>260127_TPNB500477_0167_AXXXXXXXXX</v>
      </c>
      <c r="Z94" s="51" t="s">
        <v>34</v>
      </c>
      <c r="AA94" s="51" t="s">
        <v>35</v>
      </c>
      <c r="AB94" s="26"/>
      <c r="AC94" s="26"/>
    </row>
    <row r="95" ht="28" spans="1:29">
      <c r="A95" s="26"/>
      <c r="B95" s="26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>
        <v>260127</v>
      </c>
      <c r="T95" s="59" t="s">
        <v>30</v>
      </c>
      <c r="U95" s="51" t="s">
        <v>85</v>
      </c>
      <c r="V95" s="72" t="s">
        <v>30</v>
      </c>
      <c r="W95" s="74" t="s">
        <v>176</v>
      </c>
      <c r="X95" s="72" t="s">
        <v>33</v>
      </c>
      <c r="Y95" s="51" t="str">
        <f t="shared" si="1"/>
        <v>260127_TPNB500597_0086_AXXXXXXXXX</v>
      </c>
      <c r="Z95" s="51" t="s">
        <v>87</v>
      </c>
      <c r="AA95" s="51" t="s">
        <v>35</v>
      </c>
      <c r="AB95" s="26"/>
      <c r="AC95" s="26"/>
    </row>
    <row r="96" ht="28" spans="1:29">
      <c r="A96" s="26"/>
      <c r="B96" s="26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>
        <v>260127</v>
      </c>
      <c r="T96" s="59" t="s">
        <v>30</v>
      </c>
      <c r="U96" s="51" t="s">
        <v>88</v>
      </c>
      <c r="V96" s="72" t="s">
        <v>30</v>
      </c>
      <c r="W96" s="26" t="s">
        <v>137</v>
      </c>
      <c r="X96" s="72" t="s">
        <v>33</v>
      </c>
      <c r="Y96" s="51" t="str">
        <f t="shared" si="1"/>
        <v>260127_TPNB500641_0099_AXXXXXXXXX</v>
      </c>
      <c r="Z96" s="51" t="s">
        <v>90</v>
      </c>
      <c r="AA96" s="51" t="s">
        <v>35</v>
      </c>
      <c r="AB96" s="26"/>
      <c r="AC96" s="26"/>
    </row>
    <row r="97" ht="28" spans="1:29">
      <c r="A97" s="26"/>
      <c r="B97" s="26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>
        <v>260127</v>
      </c>
      <c r="T97" s="59" t="s">
        <v>30</v>
      </c>
      <c r="U97" s="51" t="s">
        <v>36</v>
      </c>
      <c r="V97" s="72" t="s">
        <v>30</v>
      </c>
      <c r="W97" s="102" t="s">
        <v>198</v>
      </c>
      <c r="X97" s="72" t="s">
        <v>33</v>
      </c>
      <c r="Y97" s="51" t="str">
        <f t="shared" si="1"/>
        <v>260127_NDX551406_RUO_0305_AXXXXXXXXX</v>
      </c>
      <c r="Z97" s="51" t="s">
        <v>38</v>
      </c>
      <c r="AA97" s="51" t="s">
        <v>39</v>
      </c>
      <c r="AB97" s="26"/>
      <c r="AC97" s="26"/>
    </row>
    <row r="98" ht="28" spans="1:29">
      <c r="A98" s="26"/>
      <c r="B98" s="26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>
        <v>260127</v>
      </c>
      <c r="T98" s="59" t="s">
        <v>30</v>
      </c>
      <c r="U98" s="51" t="s">
        <v>92</v>
      </c>
      <c r="V98" s="72" t="s">
        <v>30</v>
      </c>
      <c r="W98" s="103" t="s">
        <v>199</v>
      </c>
      <c r="X98" s="72" t="s">
        <v>33</v>
      </c>
      <c r="Y98" s="51" t="str">
        <f t="shared" si="1"/>
        <v>260127_NDX550598_RUO_0081_AXXXXXXXXX</v>
      </c>
      <c r="Z98" s="51" t="s">
        <v>94</v>
      </c>
      <c r="AA98" s="51" t="s">
        <v>39</v>
      </c>
      <c r="AB98" s="26"/>
      <c r="AC98" s="26"/>
    </row>
    <row r="99" ht="28" spans="1:29">
      <c r="A99" s="26"/>
      <c r="B99" s="26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>
        <v>260127</v>
      </c>
      <c r="T99" s="59" t="s">
        <v>30</v>
      </c>
      <c r="U99" s="51" t="s">
        <v>95</v>
      </c>
      <c r="V99" s="72" t="s">
        <v>30</v>
      </c>
      <c r="W99" s="103" t="s">
        <v>152</v>
      </c>
      <c r="X99" s="72" t="s">
        <v>33</v>
      </c>
      <c r="Y99" s="51" t="str">
        <f t="shared" si="1"/>
        <v>260127_NDX550778_RUO_0101_AXXXXXXXXX</v>
      </c>
      <c r="Z99" s="51" t="s">
        <v>97</v>
      </c>
      <c r="AA99" s="51" t="s">
        <v>39</v>
      </c>
      <c r="AB99" s="26"/>
      <c r="AC99" s="26"/>
    </row>
    <row r="100" ht="28" spans="1:29">
      <c r="A100" s="26"/>
      <c r="B100" s="26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>
        <v>260127</v>
      </c>
      <c r="T100" s="59" t="s">
        <v>30</v>
      </c>
      <c r="U100" s="26" t="s">
        <v>98</v>
      </c>
      <c r="V100" s="72" t="s">
        <v>30</v>
      </c>
      <c r="W100" s="102" t="s">
        <v>125</v>
      </c>
      <c r="X100" s="72" t="s">
        <v>33</v>
      </c>
      <c r="Y100" s="51" t="str">
        <f t="shared" si="1"/>
        <v>260127_TPNB500657_0090_AXXXXXXXXX</v>
      </c>
      <c r="Z100" s="51" t="s">
        <v>100</v>
      </c>
      <c r="AA100" s="51" t="s">
        <v>35</v>
      </c>
      <c r="AB100" s="26"/>
      <c r="AC100" s="26"/>
    </row>
    <row r="101" ht="28" spans="1:29">
      <c r="A101" s="26"/>
      <c r="B101" s="26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>
        <v>260127</v>
      </c>
      <c r="T101" s="59" t="s">
        <v>30</v>
      </c>
      <c r="U101" s="26" t="s">
        <v>101</v>
      </c>
      <c r="V101" s="72" t="s">
        <v>30</v>
      </c>
      <c r="W101" s="75" t="s">
        <v>200</v>
      </c>
      <c r="X101" s="72" t="s">
        <v>33</v>
      </c>
      <c r="Y101" s="51" t="str">
        <f t="shared" si="1"/>
        <v>260127_TPNB500530_0110_AXXXXXXXXX</v>
      </c>
      <c r="Z101" s="51" t="s">
        <v>103</v>
      </c>
      <c r="AA101" s="51" t="s">
        <v>35</v>
      </c>
      <c r="AB101" s="26"/>
      <c r="AC101" s="26"/>
    </row>
    <row r="102" ht="28" spans="1:29">
      <c r="A102" s="26"/>
      <c r="B102" s="26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>
        <v>260127</v>
      </c>
      <c r="T102" s="59" t="s">
        <v>30</v>
      </c>
      <c r="U102" s="26" t="s">
        <v>104</v>
      </c>
      <c r="V102" s="72" t="s">
        <v>30</v>
      </c>
      <c r="W102" s="45" t="s">
        <v>201</v>
      </c>
      <c r="X102" s="72" t="s">
        <v>33</v>
      </c>
      <c r="Y102" s="51" t="str">
        <f t="shared" si="1"/>
        <v>260127_TPNB500560_0109_AXXXXXXXXX</v>
      </c>
      <c r="Z102" s="51" t="s">
        <v>106</v>
      </c>
      <c r="AA102" s="51" t="s">
        <v>35</v>
      </c>
      <c r="AB102" s="26"/>
      <c r="AC102" s="26"/>
    </row>
    <row r="103" ht="28" spans="1:29">
      <c r="A103" s="26"/>
      <c r="B103" s="26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>
        <v>260127</v>
      </c>
      <c r="T103" s="59" t="s">
        <v>30</v>
      </c>
      <c r="U103" s="51" t="s">
        <v>36</v>
      </c>
      <c r="V103" s="72" t="s">
        <v>30</v>
      </c>
      <c r="W103" s="102" t="s">
        <v>202</v>
      </c>
      <c r="X103" s="72" t="s">
        <v>33</v>
      </c>
      <c r="Y103" s="51" t="str">
        <f t="shared" si="1"/>
        <v>260127_NDX551406_RUO_0306_AXXXXXXXXX</v>
      </c>
      <c r="Z103" s="51" t="s">
        <v>38</v>
      </c>
      <c r="AA103" s="51" t="s">
        <v>39</v>
      </c>
      <c r="AB103" s="26"/>
      <c r="AC103" s="26"/>
    </row>
    <row r="104" ht="28" spans="1:29">
      <c r="A104" s="26"/>
      <c r="B104" s="26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>
        <v>260127</v>
      </c>
      <c r="T104" s="59" t="s">
        <v>30</v>
      </c>
      <c r="U104" s="51" t="s">
        <v>92</v>
      </c>
      <c r="V104" s="72" t="s">
        <v>30</v>
      </c>
      <c r="W104" s="103" t="s">
        <v>150</v>
      </c>
      <c r="X104" s="72" t="s">
        <v>33</v>
      </c>
      <c r="Y104" s="51" t="str">
        <f t="shared" si="1"/>
        <v>260127_NDX550598_RUO_0082_AXXXXXXXXX</v>
      </c>
      <c r="Z104" s="51" t="s">
        <v>94</v>
      </c>
      <c r="AA104" s="51" t="s">
        <v>39</v>
      </c>
      <c r="AB104" s="26"/>
      <c r="AC104" s="26"/>
    </row>
    <row r="105" ht="28" spans="1:29">
      <c r="A105" s="26"/>
      <c r="B105" s="26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>
        <v>260127</v>
      </c>
      <c r="T105" s="59" t="s">
        <v>30</v>
      </c>
      <c r="U105" s="51" t="s">
        <v>95</v>
      </c>
      <c r="V105" s="72" t="s">
        <v>30</v>
      </c>
      <c r="W105" s="103" t="s">
        <v>151</v>
      </c>
      <c r="X105" s="72" t="s">
        <v>33</v>
      </c>
      <c r="Y105" s="51" t="str">
        <f t="shared" si="1"/>
        <v>260127_NDX550778_RUO_0102_AXXXXXXXXX</v>
      </c>
      <c r="Z105" s="51" t="s">
        <v>97</v>
      </c>
      <c r="AA105" s="51" t="s">
        <v>39</v>
      </c>
      <c r="AB105" s="26"/>
      <c r="AC105" s="26"/>
    </row>
    <row r="106" ht="28" spans="1:29">
      <c r="A106" s="26"/>
      <c r="B106" s="26"/>
      <c r="C106" s="59" t="s">
        <v>72</v>
      </c>
      <c r="D106" s="59" t="s">
        <v>73</v>
      </c>
      <c r="E106" s="59" t="s">
        <v>74</v>
      </c>
      <c r="F106" s="59" t="s">
        <v>73</v>
      </c>
      <c r="G106" s="59" t="s">
        <v>75</v>
      </c>
      <c r="H106" s="59" t="s">
        <v>73</v>
      </c>
      <c r="I106" s="59" t="s">
        <v>203</v>
      </c>
      <c r="J106" s="59" t="s">
        <v>73</v>
      </c>
      <c r="K106" s="59" t="s">
        <v>204</v>
      </c>
      <c r="L106" s="59" t="s">
        <v>77</v>
      </c>
      <c r="M106" s="59" t="s">
        <v>205</v>
      </c>
      <c r="N106" s="59" t="s">
        <v>77</v>
      </c>
      <c r="O106" s="69" t="s">
        <v>206</v>
      </c>
      <c r="P106" s="59" t="s">
        <v>207</v>
      </c>
      <c r="Q106" s="59"/>
      <c r="R106" s="59" t="s">
        <v>208</v>
      </c>
      <c r="S106" s="59">
        <v>260128</v>
      </c>
      <c r="T106" s="59" t="s">
        <v>30</v>
      </c>
      <c r="U106" s="51" t="s">
        <v>31</v>
      </c>
      <c r="V106" s="72" t="s">
        <v>30</v>
      </c>
      <c r="W106" s="102" t="s">
        <v>209</v>
      </c>
      <c r="X106" s="72" t="s">
        <v>33</v>
      </c>
      <c r="Y106" s="51" t="str">
        <f t="shared" si="1"/>
        <v>260128_TPNB500477_0169_AXXXXXXXXX</v>
      </c>
      <c r="Z106" s="51" t="s">
        <v>34</v>
      </c>
      <c r="AA106" s="51" t="s">
        <v>35</v>
      </c>
      <c r="AB106" s="26"/>
      <c r="AC106" s="26"/>
    </row>
    <row r="107" ht="28" spans="1:29">
      <c r="A107" s="26"/>
      <c r="B107" s="26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>
        <v>260128</v>
      </c>
      <c r="T107" s="59" t="s">
        <v>30</v>
      </c>
      <c r="U107" s="51" t="s">
        <v>85</v>
      </c>
      <c r="V107" s="72" t="s">
        <v>30</v>
      </c>
      <c r="W107" s="74" t="s">
        <v>109</v>
      </c>
      <c r="X107" s="72" t="s">
        <v>33</v>
      </c>
      <c r="Y107" s="51" t="str">
        <f t="shared" si="1"/>
        <v>260128_TPNB500597_0088_AXXXXXXXXX</v>
      </c>
      <c r="Z107" s="51" t="s">
        <v>87</v>
      </c>
      <c r="AA107" s="51" t="s">
        <v>35</v>
      </c>
      <c r="AB107" s="26"/>
      <c r="AC107" s="26"/>
    </row>
    <row r="108" ht="28" spans="1:29">
      <c r="A108" s="26"/>
      <c r="B108" s="26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>
        <v>260128</v>
      </c>
      <c r="T108" s="59" t="s">
        <v>30</v>
      </c>
      <c r="U108" s="51" t="s">
        <v>88</v>
      </c>
      <c r="V108" s="72" t="s">
        <v>30</v>
      </c>
      <c r="W108" s="26" t="s">
        <v>152</v>
      </c>
      <c r="X108" s="72" t="s">
        <v>33</v>
      </c>
      <c r="Y108" s="51" t="str">
        <f t="shared" si="1"/>
        <v>260128_TPNB500641_0101_AXXXXXXXXX</v>
      </c>
      <c r="Z108" s="51" t="s">
        <v>90</v>
      </c>
      <c r="AA108" s="51" t="s">
        <v>35</v>
      </c>
      <c r="AB108" s="26"/>
      <c r="AC108" s="26"/>
    </row>
    <row r="109" ht="28" spans="1:29">
      <c r="A109" s="26"/>
      <c r="B109" s="26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>
        <v>260128</v>
      </c>
      <c r="T109" s="59" t="s">
        <v>30</v>
      </c>
      <c r="U109" s="51" t="s">
        <v>36</v>
      </c>
      <c r="V109" s="72" t="s">
        <v>30</v>
      </c>
      <c r="W109" s="102" t="s">
        <v>210</v>
      </c>
      <c r="X109" s="72" t="s">
        <v>33</v>
      </c>
      <c r="Y109" s="51" t="str">
        <f t="shared" si="1"/>
        <v>260128_NDX551406_RUO_0307_AXXXXXXXXX</v>
      </c>
      <c r="Z109" s="51" t="s">
        <v>38</v>
      </c>
      <c r="AA109" s="51" t="s">
        <v>39</v>
      </c>
      <c r="AB109" s="26"/>
      <c r="AC109" s="26"/>
    </row>
    <row r="110" ht="28" spans="1:29">
      <c r="A110" s="26"/>
      <c r="B110" s="26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>
        <v>260128</v>
      </c>
      <c r="T110" s="59" t="s">
        <v>30</v>
      </c>
      <c r="U110" s="51" t="s">
        <v>92</v>
      </c>
      <c r="V110" s="72" t="s">
        <v>30</v>
      </c>
      <c r="W110" s="103" t="s">
        <v>211</v>
      </c>
      <c r="X110" s="72" t="s">
        <v>33</v>
      </c>
      <c r="Y110" s="51" t="str">
        <f t="shared" si="1"/>
        <v>260128_NDX550598_RUO_0083_AXXXXXXXXX</v>
      </c>
      <c r="Z110" s="51" t="s">
        <v>94</v>
      </c>
      <c r="AA110" s="51" t="s">
        <v>39</v>
      </c>
      <c r="AB110" s="26"/>
      <c r="AC110" s="26"/>
    </row>
    <row r="111" ht="28" spans="1:29">
      <c r="A111" s="26"/>
      <c r="B111" s="26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>
        <v>260128</v>
      </c>
      <c r="T111" s="59" t="s">
        <v>30</v>
      </c>
      <c r="U111" s="51" t="s">
        <v>95</v>
      </c>
      <c r="V111" s="72" t="s">
        <v>30</v>
      </c>
      <c r="W111" s="103" t="s">
        <v>166</v>
      </c>
      <c r="X111" s="72" t="s">
        <v>33</v>
      </c>
      <c r="Y111" s="51" t="str">
        <f t="shared" si="1"/>
        <v>260128_NDX550778_RUO_0103_AXXXXXXXXX</v>
      </c>
      <c r="Z111" s="51" t="s">
        <v>97</v>
      </c>
      <c r="AA111" s="51" t="s">
        <v>39</v>
      </c>
      <c r="AB111" s="26"/>
      <c r="AC111" s="26"/>
    </row>
    <row r="112" ht="28" spans="1:29">
      <c r="A112" s="26"/>
      <c r="B112" s="26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>
        <v>260128</v>
      </c>
      <c r="T112" s="59" t="s">
        <v>30</v>
      </c>
      <c r="U112" s="26" t="s">
        <v>98</v>
      </c>
      <c r="V112" s="72" t="s">
        <v>30</v>
      </c>
      <c r="W112" s="102" t="s">
        <v>139</v>
      </c>
      <c r="X112" s="72" t="s">
        <v>33</v>
      </c>
      <c r="Y112" s="51" t="str">
        <f t="shared" si="1"/>
        <v>260128_TPNB500657_0092_AXXXXXXXXX</v>
      </c>
      <c r="Z112" s="51" t="s">
        <v>100</v>
      </c>
      <c r="AA112" s="51" t="s">
        <v>35</v>
      </c>
      <c r="AB112" s="26"/>
      <c r="AC112" s="26"/>
    </row>
    <row r="113" ht="28" spans="1:29">
      <c r="A113" s="26"/>
      <c r="B113" s="26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>
        <v>260128</v>
      </c>
      <c r="T113" s="59" t="s">
        <v>30</v>
      </c>
      <c r="U113" s="26" t="s">
        <v>101</v>
      </c>
      <c r="V113" s="72" t="s">
        <v>30</v>
      </c>
      <c r="W113" s="75" t="s">
        <v>212</v>
      </c>
      <c r="X113" s="72" t="s">
        <v>33</v>
      </c>
      <c r="Y113" s="51" t="str">
        <f t="shared" si="1"/>
        <v>260128_TPNB500530_0112_AXXXXXXXXX</v>
      </c>
      <c r="Z113" s="51" t="s">
        <v>103</v>
      </c>
      <c r="AA113" s="51" t="s">
        <v>35</v>
      </c>
      <c r="AB113" s="26"/>
      <c r="AC113" s="26"/>
    </row>
    <row r="114" ht="28" spans="1:29">
      <c r="A114" s="26"/>
      <c r="B114" s="26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>
        <v>260128</v>
      </c>
      <c r="T114" s="59" t="s">
        <v>30</v>
      </c>
      <c r="U114" s="26" t="s">
        <v>104</v>
      </c>
      <c r="V114" s="72" t="s">
        <v>30</v>
      </c>
      <c r="W114" s="45" t="s">
        <v>213</v>
      </c>
      <c r="X114" s="72" t="s">
        <v>33</v>
      </c>
      <c r="Y114" s="51" t="str">
        <f t="shared" si="1"/>
        <v>260128_TPNB500560_0111_AXXXXXXXXX</v>
      </c>
      <c r="Z114" s="51" t="s">
        <v>106</v>
      </c>
      <c r="AA114" s="51" t="s">
        <v>35</v>
      </c>
      <c r="AB114" s="26"/>
      <c r="AC114" s="26"/>
    </row>
    <row r="115" ht="28" spans="1:29">
      <c r="A115" s="26"/>
      <c r="B115" s="26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>
        <v>260128</v>
      </c>
      <c r="T115" s="59" t="s">
        <v>30</v>
      </c>
      <c r="U115" s="51" t="s">
        <v>36</v>
      </c>
      <c r="V115" s="72" t="s">
        <v>30</v>
      </c>
      <c r="W115" s="102" t="s">
        <v>214</v>
      </c>
      <c r="X115" s="72" t="s">
        <v>33</v>
      </c>
      <c r="Y115" s="51" t="str">
        <f t="shared" si="1"/>
        <v>260128_NDX551406_RUO_0308_AXXXXXXXXX</v>
      </c>
      <c r="Z115" s="51" t="s">
        <v>38</v>
      </c>
      <c r="AA115" s="51" t="s">
        <v>39</v>
      </c>
      <c r="AB115" s="26"/>
      <c r="AC115" s="26"/>
    </row>
    <row r="116" ht="28" spans="1:29">
      <c r="A116" s="26"/>
      <c r="B116" s="26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>
        <v>260128</v>
      </c>
      <c r="T116" s="59" t="s">
        <v>30</v>
      </c>
      <c r="U116" s="51" t="s">
        <v>92</v>
      </c>
      <c r="V116" s="72" t="s">
        <v>30</v>
      </c>
      <c r="W116" s="103" t="s">
        <v>164</v>
      </c>
      <c r="X116" s="72" t="s">
        <v>33</v>
      </c>
      <c r="Y116" s="51" t="str">
        <f t="shared" si="1"/>
        <v>260128_NDX550598_RUO_0084_AXXXXXXXXX</v>
      </c>
      <c r="Z116" s="51" t="s">
        <v>94</v>
      </c>
      <c r="AA116" s="51" t="s">
        <v>39</v>
      </c>
      <c r="AB116" s="26"/>
      <c r="AC116" s="26"/>
    </row>
    <row r="117" ht="28" spans="1:29">
      <c r="A117" s="26"/>
      <c r="B117" s="26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>
        <v>260128</v>
      </c>
      <c r="T117" s="59" t="s">
        <v>30</v>
      </c>
      <c r="U117" s="51" t="s">
        <v>95</v>
      </c>
      <c r="V117" s="72" t="s">
        <v>30</v>
      </c>
      <c r="W117" s="103" t="s">
        <v>165</v>
      </c>
      <c r="X117" s="72" t="s">
        <v>33</v>
      </c>
      <c r="Y117" s="51" t="str">
        <f t="shared" si="1"/>
        <v>260128_NDX550778_RUO_0104_AXXXXXXXXX</v>
      </c>
      <c r="Z117" s="51" t="s">
        <v>97</v>
      </c>
      <c r="AA117" s="51" t="s">
        <v>39</v>
      </c>
      <c r="AB117" s="26"/>
      <c r="AC117" s="26"/>
    </row>
    <row r="118" ht="12" customHeight="1" spans="1:29">
      <c r="A118" s="26"/>
      <c r="B118" s="26"/>
      <c r="C118" s="59" t="s">
        <v>72</v>
      </c>
      <c r="D118" s="59" t="s">
        <v>73</v>
      </c>
      <c r="E118" s="59" t="s">
        <v>74</v>
      </c>
      <c r="F118" s="59" t="s">
        <v>73</v>
      </c>
      <c r="G118" s="59" t="s">
        <v>75</v>
      </c>
      <c r="H118" s="59" t="s">
        <v>73</v>
      </c>
      <c r="I118" s="59" t="s">
        <v>215</v>
      </c>
      <c r="J118" s="59" t="s">
        <v>73</v>
      </c>
      <c r="K118" s="59" t="s">
        <v>216</v>
      </c>
      <c r="L118" s="59" t="s">
        <v>77</v>
      </c>
      <c r="M118" s="59" t="s">
        <v>217</v>
      </c>
      <c r="N118" s="59" t="s">
        <v>77</v>
      </c>
      <c r="O118" s="69" t="s">
        <v>218</v>
      </c>
      <c r="P118" s="59" t="s">
        <v>207</v>
      </c>
      <c r="Q118" s="59"/>
      <c r="R118" s="59" t="s">
        <v>219</v>
      </c>
      <c r="S118" s="59">
        <v>260129</v>
      </c>
      <c r="T118" s="59" t="s">
        <v>30</v>
      </c>
      <c r="U118" s="51" t="s">
        <v>31</v>
      </c>
      <c r="V118" s="72" t="s">
        <v>30</v>
      </c>
      <c r="W118" s="102" t="s">
        <v>220</v>
      </c>
      <c r="X118" s="72" t="s">
        <v>33</v>
      </c>
      <c r="Y118" s="51" t="str">
        <f t="shared" si="1"/>
        <v>260129_TPNB500477_0171_AXXXXXXXXX</v>
      </c>
      <c r="Z118" s="51" t="s">
        <v>34</v>
      </c>
      <c r="AA118" s="51" t="s">
        <v>35</v>
      </c>
      <c r="AB118" s="26"/>
      <c r="AC118" s="26"/>
    </row>
    <row r="119" ht="12" customHeight="1" spans="1:29">
      <c r="A119" s="26"/>
      <c r="B119" s="26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>
        <v>260129</v>
      </c>
      <c r="T119" s="59" t="s">
        <v>30</v>
      </c>
      <c r="U119" s="51" t="s">
        <v>85</v>
      </c>
      <c r="V119" s="72" t="s">
        <v>30</v>
      </c>
      <c r="W119" s="74" t="s">
        <v>125</v>
      </c>
      <c r="X119" s="72" t="s">
        <v>33</v>
      </c>
      <c r="Y119" s="51" t="str">
        <f t="shared" si="1"/>
        <v>260129_TPNB500597_0090_AXXXXXXXXX</v>
      </c>
      <c r="Z119" s="51" t="s">
        <v>87</v>
      </c>
      <c r="AA119" s="51" t="s">
        <v>35</v>
      </c>
      <c r="AB119" s="26"/>
      <c r="AC119" s="26"/>
    </row>
    <row r="120" ht="12" customHeight="1" spans="1:29">
      <c r="A120" s="26"/>
      <c r="B120" s="26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>
        <v>260129</v>
      </c>
      <c r="T120" s="59" t="s">
        <v>30</v>
      </c>
      <c r="U120" s="51" t="s">
        <v>88</v>
      </c>
      <c r="V120" s="72" t="s">
        <v>30</v>
      </c>
      <c r="W120" s="26" t="s">
        <v>166</v>
      </c>
      <c r="X120" s="72" t="s">
        <v>33</v>
      </c>
      <c r="Y120" s="51" t="str">
        <f t="shared" si="1"/>
        <v>260129_TPNB500641_0103_AXXXXXXXXX</v>
      </c>
      <c r="Z120" s="51" t="s">
        <v>90</v>
      </c>
      <c r="AA120" s="51" t="s">
        <v>35</v>
      </c>
      <c r="AB120" s="26"/>
      <c r="AC120" s="26"/>
    </row>
    <row r="121" ht="12" customHeight="1" spans="1:29">
      <c r="A121" s="26"/>
      <c r="B121" s="26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>
        <v>260129</v>
      </c>
      <c r="T121" s="59" t="s">
        <v>30</v>
      </c>
      <c r="U121" s="51" t="s">
        <v>36</v>
      </c>
      <c r="V121" s="72" t="s">
        <v>30</v>
      </c>
      <c r="W121" s="102" t="s">
        <v>221</v>
      </c>
      <c r="X121" s="72" t="s">
        <v>33</v>
      </c>
      <c r="Y121" s="51" t="str">
        <f t="shared" si="1"/>
        <v>260129_NDX551406_RUO_0309_AXXXXXXXXX</v>
      </c>
      <c r="Z121" s="51" t="s">
        <v>38</v>
      </c>
      <c r="AA121" s="51" t="s">
        <v>39</v>
      </c>
      <c r="AB121" s="26"/>
      <c r="AC121" s="26"/>
    </row>
    <row r="122" ht="12" customHeight="1" spans="1:29">
      <c r="A122" s="26"/>
      <c r="B122" s="26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>
        <v>260129</v>
      </c>
      <c r="T122" s="59" t="s">
        <v>30</v>
      </c>
      <c r="U122" s="51" t="s">
        <v>92</v>
      </c>
      <c r="V122" s="72" t="s">
        <v>30</v>
      </c>
      <c r="W122" s="103" t="s">
        <v>89</v>
      </c>
      <c r="X122" s="72" t="s">
        <v>33</v>
      </c>
      <c r="Y122" s="51" t="str">
        <f t="shared" si="1"/>
        <v>260129_NDX550598_RUO_0085_AXXXXXXXXX</v>
      </c>
      <c r="Z122" s="51" t="s">
        <v>94</v>
      </c>
      <c r="AA122" s="51" t="s">
        <v>39</v>
      </c>
      <c r="AB122" s="26"/>
      <c r="AC122" s="26"/>
    </row>
    <row r="123" ht="12" customHeight="1" spans="1:29">
      <c r="A123" s="26"/>
      <c r="B123" s="26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>
        <v>260129</v>
      </c>
      <c r="T123" s="59" t="s">
        <v>30</v>
      </c>
      <c r="U123" s="51" t="s">
        <v>95</v>
      </c>
      <c r="V123" s="72" t="s">
        <v>30</v>
      </c>
      <c r="W123" s="103" t="s">
        <v>178</v>
      </c>
      <c r="X123" s="72" t="s">
        <v>33</v>
      </c>
      <c r="Y123" s="51" t="str">
        <f t="shared" si="1"/>
        <v>260129_NDX550778_RUO_0105_AXXXXXXXXX</v>
      </c>
      <c r="Z123" s="51" t="s">
        <v>97</v>
      </c>
      <c r="AA123" s="51" t="s">
        <v>39</v>
      </c>
      <c r="AB123" s="26"/>
      <c r="AC123" s="26"/>
    </row>
    <row r="124" ht="12" customHeight="1" spans="1:29">
      <c r="A124" s="26"/>
      <c r="B124" s="26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>
        <v>260129</v>
      </c>
      <c r="T124" s="59" t="s">
        <v>30</v>
      </c>
      <c r="U124" s="26" t="s">
        <v>98</v>
      </c>
      <c r="V124" s="72" t="s">
        <v>30</v>
      </c>
      <c r="W124" s="102" t="s">
        <v>154</v>
      </c>
      <c r="X124" s="72" t="s">
        <v>33</v>
      </c>
      <c r="Y124" s="51" t="str">
        <f t="shared" si="1"/>
        <v>260129_TPNB500657_0094_AXXXXXXXXX</v>
      </c>
      <c r="Z124" s="51" t="s">
        <v>100</v>
      </c>
      <c r="AA124" s="51" t="s">
        <v>35</v>
      </c>
      <c r="AB124" s="26"/>
      <c r="AC124" s="26"/>
    </row>
    <row r="125" ht="12" customHeight="1" spans="1:29">
      <c r="A125" s="26"/>
      <c r="B125" s="26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>
        <v>260129</v>
      </c>
      <c r="T125" s="59" t="s">
        <v>30</v>
      </c>
      <c r="U125" s="26" t="s">
        <v>101</v>
      </c>
      <c r="V125" s="72" t="s">
        <v>30</v>
      </c>
      <c r="W125" s="75" t="s">
        <v>222</v>
      </c>
      <c r="X125" s="72" t="s">
        <v>33</v>
      </c>
      <c r="Y125" s="51" t="str">
        <f t="shared" si="1"/>
        <v>260129_TPNB500530_0114_AXXXXXXXXX</v>
      </c>
      <c r="Z125" s="51" t="s">
        <v>103</v>
      </c>
      <c r="AA125" s="51" t="s">
        <v>35</v>
      </c>
      <c r="AB125" s="26"/>
      <c r="AC125" s="26"/>
    </row>
    <row r="126" ht="12" customHeight="1" spans="1:29">
      <c r="A126" s="26"/>
      <c r="B126" s="26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>
        <v>260129</v>
      </c>
      <c r="T126" s="59" t="s">
        <v>30</v>
      </c>
      <c r="U126" s="26" t="s">
        <v>104</v>
      </c>
      <c r="V126" s="72" t="s">
        <v>30</v>
      </c>
      <c r="W126" s="45" t="s">
        <v>223</v>
      </c>
      <c r="X126" s="72" t="s">
        <v>33</v>
      </c>
      <c r="Y126" s="51" t="str">
        <f t="shared" si="1"/>
        <v>260129_TPNB500560_0113_AXXXXXXXXX</v>
      </c>
      <c r="Z126" s="51" t="s">
        <v>106</v>
      </c>
      <c r="AA126" s="51" t="s">
        <v>35</v>
      </c>
      <c r="AB126" s="26"/>
      <c r="AC126" s="26"/>
    </row>
    <row r="127" ht="12" customHeight="1" spans="1:29">
      <c r="A127" s="26"/>
      <c r="B127" s="26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>
        <v>260129</v>
      </c>
      <c r="T127" s="59" t="s">
        <v>30</v>
      </c>
      <c r="U127" s="51" t="s">
        <v>36</v>
      </c>
      <c r="V127" s="72" t="s">
        <v>30</v>
      </c>
      <c r="W127" s="102" t="s">
        <v>224</v>
      </c>
      <c r="X127" s="72" t="s">
        <v>33</v>
      </c>
      <c r="Y127" s="51" t="str">
        <f t="shared" si="1"/>
        <v>260129_NDX551406_RUO_0310_AXXXXXXXXX</v>
      </c>
      <c r="Z127" s="51" t="s">
        <v>38</v>
      </c>
      <c r="AA127" s="51" t="s">
        <v>39</v>
      </c>
      <c r="AB127" s="26"/>
      <c r="AC127" s="26"/>
    </row>
    <row r="128" ht="12" customHeight="1" spans="1:29">
      <c r="A128" s="26"/>
      <c r="B128" s="26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>
        <v>260129</v>
      </c>
      <c r="T128" s="59" t="s">
        <v>30</v>
      </c>
      <c r="U128" s="51" t="s">
        <v>92</v>
      </c>
      <c r="V128" s="72" t="s">
        <v>30</v>
      </c>
      <c r="W128" s="103" t="s">
        <v>176</v>
      </c>
      <c r="X128" s="72" t="s">
        <v>33</v>
      </c>
      <c r="Y128" s="51" t="str">
        <f t="shared" si="1"/>
        <v>260129_NDX550598_RUO_0086_AXXXXXXXXX</v>
      </c>
      <c r="Z128" s="51" t="s">
        <v>94</v>
      </c>
      <c r="AA128" s="51" t="s">
        <v>39</v>
      </c>
      <c r="AB128" s="26"/>
      <c r="AC128" s="26"/>
    </row>
    <row r="129" ht="12" customHeight="1" spans="1:29">
      <c r="A129" s="26"/>
      <c r="B129" s="26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>
        <v>260129</v>
      </c>
      <c r="T129" s="59" t="s">
        <v>30</v>
      </c>
      <c r="U129" s="51" t="s">
        <v>95</v>
      </c>
      <c r="V129" s="72" t="s">
        <v>30</v>
      </c>
      <c r="W129" s="103" t="s">
        <v>177</v>
      </c>
      <c r="X129" s="72" t="s">
        <v>33</v>
      </c>
      <c r="Y129" s="51" t="str">
        <f t="shared" si="1"/>
        <v>260129_NDX550778_RUO_0106_AXXXXXXXXX</v>
      </c>
      <c r="Z129" s="51" t="s">
        <v>97</v>
      </c>
      <c r="AA129" s="51" t="s">
        <v>39</v>
      </c>
      <c r="AB129" s="26"/>
      <c r="AC129" s="26"/>
    </row>
    <row r="130" ht="12" customHeight="1" spans="1:29">
      <c r="A130" s="26"/>
      <c r="B130" s="26"/>
      <c r="C130" s="59" t="s">
        <v>72</v>
      </c>
      <c r="D130" s="59" t="s">
        <v>73</v>
      </c>
      <c r="E130" s="59" t="s">
        <v>74</v>
      </c>
      <c r="F130" s="59" t="s">
        <v>73</v>
      </c>
      <c r="G130" s="59" t="s">
        <v>75</v>
      </c>
      <c r="H130" s="59" t="s">
        <v>73</v>
      </c>
      <c r="I130" s="59" t="s">
        <v>225</v>
      </c>
      <c r="J130" s="59" t="s">
        <v>73</v>
      </c>
      <c r="K130" s="59" t="s">
        <v>226</v>
      </c>
      <c r="L130" s="59" t="s">
        <v>77</v>
      </c>
      <c r="M130" s="59" t="s">
        <v>227</v>
      </c>
      <c r="N130" s="59" t="s">
        <v>77</v>
      </c>
      <c r="O130" s="69" t="s">
        <v>228</v>
      </c>
      <c r="P130" s="59" t="s">
        <v>207</v>
      </c>
      <c r="Q130" s="59"/>
      <c r="R130" s="59" t="s">
        <v>229</v>
      </c>
      <c r="S130" s="59">
        <v>260130</v>
      </c>
      <c r="T130" s="59" t="s">
        <v>30</v>
      </c>
      <c r="U130" s="51" t="s">
        <v>31</v>
      </c>
      <c r="V130" s="72" t="s">
        <v>30</v>
      </c>
      <c r="W130" s="102" t="s">
        <v>230</v>
      </c>
      <c r="X130" s="72" t="s">
        <v>33</v>
      </c>
      <c r="Y130" s="51" t="str">
        <f t="shared" ref="Y130:Y193" si="2">S130&amp;T130&amp;U130&amp;V130&amp;W130&amp;X130</f>
        <v>260130_TPNB500477_0173_AXXXXXXXXX</v>
      </c>
      <c r="Z130" s="51" t="s">
        <v>34</v>
      </c>
      <c r="AA130" s="51" t="s">
        <v>35</v>
      </c>
      <c r="AB130" s="26"/>
      <c r="AC130" s="26"/>
    </row>
    <row r="131" ht="12" customHeight="1" spans="1:29">
      <c r="A131" s="26"/>
      <c r="B131" s="26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>
        <v>260130</v>
      </c>
      <c r="T131" s="59" t="s">
        <v>30</v>
      </c>
      <c r="U131" s="51" t="s">
        <v>85</v>
      </c>
      <c r="V131" s="72" t="s">
        <v>30</v>
      </c>
      <c r="W131" s="74" t="s">
        <v>139</v>
      </c>
      <c r="X131" s="72" t="s">
        <v>33</v>
      </c>
      <c r="Y131" s="51" t="str">
        <f t="shared" si="2"/>
        <v>260130_TPNB500597_0092_AXXXXXXXXX</v>
      </c>
      <c r="Z131" s="51" t="s">
        <v>87</v>
      </c>
      <c r="AA131" s="51" t="s">
        <v>35</v>
      </c>
      <c r="AB131" s="26"/>
      <c r="AC131" s="26"/>
    </row>
    <row r="132" ht="12" customHeight="1" spans="1:29">
      <c r="A132" s="26"/>
      <c r="B132" s="26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>
        <v>260130</v>
      </c>
      <c r="T132" s="59" t="s">
        <v>30</v>
      </c>
      <c r="U132" s="51" t="s">
        <v>88</v>
      </c>
      <c r="V132" s="72" t="s">
        <v>30</v>
      </c>
      <c r="W132" s="26" t="s">
        <v>178</v>
      </c>
      <c r="X132" s="72" t="s">
        <v>33</v>
      </c>
      <c r="Y132" s="51" t="str">
        <f t="shared" si="2"/>
        <v>260130_TPNB500641_0105_AXXXXXXXXX</v>
      </c>
      <c r="Z132" s="51" t="s">
        <v>90</v>
      </c>
      <c r="AA132" s="51" t="s">
        <v>35</v>
      </c>
      <c r="AB132" s="26"/>
      <c r="AC132" s="26"/>
    </row>
    <row r="133" ht="12" customHeight="1" spans="1:29">
      <c r="A133" s="26"/>
      <c r="B133" s="26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>
        <v>260130</v>
      </c>
      <c r="T133" s="59" t="s">
        <v>30</v>
      </c>
      <c r="U133" s="51" t="s">
        <v>36</v>
      </c>
      <c r="V133" s="72" t="s">
        <v>30</v>
      </c>
      <c r="W133" s="102" t="s">
        <v>231</v>
      </c>
      <c r="X133" s="72" t="s">
        <v>33</v>
      </c>
      <c r="Y133" s="51" t="str">
        <f t="shared" si="2"/>
        <v>260130_NDX551406_RUO_0311_AXXXXXXXXX</v>
      </c>
      <c r="Z133" s="51" t="s">
        <v>38</v>
      </c>
      <c r="AA133" s="51" t="s">
        <v>39</v>
      </c>
      <c r="AB133" s="26"/>
      <c r="AC133" s="26"/>
    </row>
    <row r="134" ht="12" customHeight="1" spans="1:29">
      <c r="A134" s="26"/>
      <c r="B134" s="26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>
        <v>260130</v>
      </c>
      <c r="T134" s="59" t="s">
        <v>30</v>
      </c>
      <c r="U134" s="51" t="s">
        <v>92</v>
      </c>
      <c r="V134" s="72" t="s">
        <v>30</v>
      </c>
      <c r="W134" s="103" t="s">
        <v>96</v>
      </c>
      <c r="X134" s="72" t="s">
        <v>33</v>
      </c>
      <c r="Y134" s="51" t="str">
        <f t="shared" si="2"/>
        <v>260130_NDX550598_RUO_0087_AXXXXXXXXX</v>
      </c>
      <c r="Z134" s="51" t="s">
        <v>94</v>
      </c>
      <c r="AA134" s="51" t="s">
        <v>39</v>
      </c>
      <c r="AB134" s="26"/>
      <c r="AC134" s="26"/>
    </row>
    <row r="135" ht="12" customHeight="1" spans="1:29">
      <c r="A135" s="26"/>
      <c r="B135" s="26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>
        <v>260130</v>
      </c>
      <c r="T135" s="59" t="s">
        <v>30</v>
      </c>
      <c r="U135" s="51" t="s">
        <v>95</v>
      </c>
      <c r="V135" s="72" t="s">
        <v>30</v>
      </c>
      <c r="W135" s="103" t="s">
        <v>189</v>
      </c>
      <c r="X135" s="72" t="s">
        <v>33</v>
      </c>
      <c r="Y135" s="51" t="str">
        <f t="shared" si="2"/>
        <v>260130_NDX550778_RUO_0107_AXXXXXXXXX</v>
      </c>
      <c r="Z135" s="51" t="s">
        <v>97</v>
      </c>
      <c r="AA135" s="51" t="s">
        <v>39</v>
      </c>
      <c r="AB135" s="26"/>
      <c r="AC135" s="26"/>
    </row>
    <row r="136" ht="12" customHeight="1" spans="1:29">
      <c r="A136" s="26"/>
      <c r="B136" s="26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>
        <v>260130</v>
      </c>
      <c r="T136" s="59" t="s">
        <v>30</v>
      </c>
      <c r="U136" s="26" t="s">
        <v>98</v>
      </c>
      <c r="V136" s="72" t="s">
        <v>30</v>
      </c>
      <c r="W136" s="102" t="s">
        <v>102</v>
      </c>
      <c r="X136" s="72" t="s">
        <v>33</v>
      </c>
      <c r="Y136" s="51" t="str">
        <f t="shared" si="2"/>
        <v>260130_TPNB500657_0096_AXXXXXXXXX</v>
      </c>
      <c r="Z136" s="51" t="s">
        <v>100</v>
      </c>
      <c r="AA136" s="51" t="s">
        <v>35</v>
      </c>
      <c r="AB136" s="26"/>
      <c r="AC136" s="26"/>
    </row>
    <row r="137" ht="12" customHeight="1" spans="1:29">
      <c r="A137" s="26"/>
      <c r="B137" s="26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>
        <v>260130</v>
      </c>
      <c r="T137" s="59" t="s">
        <v>30</v>
      </c>
      <c r="U137" s="26" t="s">
        <v>101</v>
      </c>
      <c r="V137" s="72" t="s">
        <v>30</v>
      </c>
      <c r="W137" s="75" t="s">
        <v>232</v>
      </c>
      <c r="X137" s="72" t="s">
        <v>33</v>
      </c>
      <c r="Y137" s="51" t="str">
        <f t="shared" si="2"/>
        <v>260130_TPNB500530_0116_AXXXXXXXXX</v>
      </c>
      <c r="Z137" s="51" t="s">
        <v>103</v>
      </c>
      <c r="AA137" s="51" t="s">
        <v>35</v>
      </c>
      <c r="AB137" s="26"/>
      <c r="AC137" s="26"/>
    </row>
    <row r="138" ht="12" customHeight="1" spans="1:29">
      <c r="A138" s="26"/>
      <c r="B138" s="26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>
        <v>260130</v>
      </c>
      <c r="T138" s="59" t="s">
        <v>30</v>
      </c>
      <c r="U138" s="26" t="s">
        <v>104</v>
      </c>
      <c r="V138" s="72" t="s">
        <v>30</v>
      </c>
      <c r="W138" s="104" t="s">
        <v>233</v>
      </c>
      <c r="X138" s="72" t="s">
        <v>33</v>
      </c>
      <c r="Y138" s="51" t="str">
        <f t="shared" si="2"/>
        <v>260130_TPNB500560_0115_AXXXXXXXXX</v>
      </c>
      <c r="Z138" s="51" t="s">
        <v>106</v>
      </c>
      <c r="AA138" s="51" t="s">
        <v>35</v>
      </c>
      <c r="AB138" s="26"/>
      <c r="AC138" s="26"/>
    </row>
    <row r="139" ht="12" customHeight="1" spans="1:29">
      <c r="A139" s="26"/>
      <c r="B139" s="26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>
        <v>260130</v>
      </c>
      <c r="T139" s="59" t="s">
        <v>30</v>
      </c>
      <c r="U139" s="51" t="s">
        <v>36</v>
      </c>
      <c r="V139" s="72" t="s">
        <v>30</v>
      </c>
      <c r="W139" s="102" t="s">
        <v>234</v>
      </c>
      <c r="X139" s="72" t="s">
        <v>33</v>
      </c>
      <c r="Y139" s="51" t="str">
        <f t="shared" si="2"/>
        <v>260130_NDX551406_RUO_0312_AXXXXXXXXX</v>
      </c>
      <c r="Z139" s="51" t="s">
        <v>38</v>
      </c>
      <c r="AA139" s="51" t="s">
        <v>39</v>
      </c>
      <c r="AB139" s="26"/>
      <c r="AC139" s="26"/>
    </row>
    <row r="140" ht="12" customHeight="1" spans="1:29">
      <c r="A140" s="26"/>
      <c r="B140" s="26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>
        <v>260130</v>
      </c>
      <c r="T140" s="59" t="s">
        <v>30</v>
      </c>
      <c r="U140" s="51" t="s">
        <v>92</v>
      </c>
      <c r="V140" s="72" t="s">
        <v>30</v>
      </c>
      <c r="W140" s="103" t="s">
        <v>109</v>
      </c>
      <c r="X140" s="72" t="s">
        <v>33</v>
      </c>
      <c r="Y140" s="51" t="str">
        <f t="shared" si="2"/>
        <v>260130_NDX550598_RUO_0088_AXXXXXXXXX</v>
      </c>
      <c r="Z140" s="51" t="s">
        <v>94</v>
      </c>
      <c r="AA140" s="51" t="s">
        <v>39</v>
      </c>
      <c r="AB140" s="26"/>
      <c r="AC140" s="26"/>
    </row>
    <row r="141" ht="12" customHeight="1" spans="1:29">
      <c r="A141" s="26"/>
      <c r="B141" s="26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>
        <v>260130</v>
      </c>
      <c r="T141" s="59" t="s">
        <v>30</v>
      </c>
      <c r="U141" s="51" t="s">
        <v>95</v>
      </c>
      <c r="V141" s="72" t="s">
        <v>30</v>
      </c>
      <c r="W141" s="103" t="s">
        <v>188</v>
      </c>
      <c r="X141" s="72" t="s">
        <v>33</v>
      </c>
      <c r="Y141" s="51" t="str">
        <f t="shared" si="2"/>
        <v>260130_NDX550778_RUO_0108_AXXXXXXXXX</v>
      </c>
      <c r="Z141" s="51" t="s">
        <v>97</v>
      </c>
      <c r="AA141" s="51" t="s">
        <v>39</v>
      </c>
      <c r="AB141" s="26"/>
      <c r="AC141" s="26"/>
    </row>
    <row r="142" ht="40" customHeight="1" spans="1:29">
      <c r="A142" s="26"/>
      <c r="B142" s="26"/>
      <c r="C142" s="59" t="s">
        <v>72</v>
      </c>
      <c r="D142" s="59" t="s">
        <v>73</v>
      </c>
      <c r="E142" s="59" t="s">
        <v>74</v>
      </c>
      <c r="F142" s="59" t="s">
        <v>73</v>
      </c>
      <c r="G142" s="59" t="s">
        <v>75</v>
      </c>
      <c r="H142" s="59" t="s">
        <v>73</v>
      </c>
      <c r="I142" s="59" t="s">
        <v>235</v>
      </c>
      <c r="J142" s="59" t="s">
        <v>73</v>
      </c>
      <c r="K142" s="59" t="s">
        <v>236</v>
      </c>
      <c r="L142" s="59" t="s">
        <v>77</v>
      </c>
      <c r="M142" s="59" t="s">
        <v>237</v>
      </c>
      <c r="N142" s="59" t="s">
        <v>77</v>
      </c>
      <c r="O142" s="64" t="s">
        <v>238</v>
      </c>
      <c r="P142" s="59" t="s">
        <v>207</v>
      </c>
      <c r="Q142" s="59"/>
      <c r="R142" s="59" t="s">
        <v>239</v>
      </c>
      <c r="S142" s="59">
        <v>260131</v>
      </c>
      <c r="T142" s="59" t="s">
        <v>30</v>
      </c>
      <c r="U142" s="51" t="s">
        <v>31</v>
      </c>
      <c r="V142" s="72" t="s">
        <v>30</v>
      </c>
      <c r="W142" s="105" t="s">
        <v>240</v>
      </c>
      <c r="X142" s="72" t="s">
        <v>33</v>
      </c>
      <c r="Y142" s="51" t="str">
        <f t="shared" si="2"/>
        <v>260131_TPNB500477_0175_AXXXXXXXXX</v>
      </c>
      <c r="Z142" s="51" t="s">
        <v>34</v>
      </c>
      <c r="AA142" s="51" t="s">
        <v>35</v>
      </c>
      <c r="AB142" s="26"/>
      <c r="AC142" s="26"/>
    </row>
    <row r="143" ht="40" customHeight="1" spans="1:29">
      <c r="A143" s="26"/>
      <c r="B143" s="26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66"/>
      <c r="P143" s="59"/>
      <c r="Q143" s="59"/>
      <c r="R143" s="59"/>
      <c r="S143" s="59">
        <v>260131</v>
      </c>
      <c r="T143" s="59" t="s">
        <v>30</v>
      </c>
      <c r="U143" s="51" t="s">
        <v>36</v>
      </c>
      <c r="V143" s="72" t="s">
        <v>30</v>
      </c>
      <c r="W143" s="105" t="s">
        <v>241</v>
      </c>
      <c r="X143" s="72" t="s">
        <v>33</v>
      </c>
      <c r="Y143" s="51" t="str">
        <f t="shared" si="2"/>
        <v>260131_NDX551406_RUO_0313_AXXXXXXXXX</v>
      </c>
      <c r="Z143" s="51" t="s">
        <v>38</v>
      </c>
      <c r="AA143" s="51" t="s">
        <v>39</v>
      </c>
      <c r="AB143" s="26"/>
      <c r="AC143" s="26"/>
    </row>
    <row r="144" ht="35" customHeight="1" spans="1:29">
      <c r="A144" s="26"/>
      <c r="B144" s="26"/>
      <c r="C144" s="59" t="s">
        <v>219</v>
      </c>
      <c r="D144" s="59" t="s">
        <v>242</v>
      </c>
      <c r="E144" s="59" t="s">
        <v>219</v>
      </c>
      <c r="F144" s="59" t="s">
        <v>242</v>
      </c>
      <c r="G144" s="59" t="s">
        <v>229</v>
      </c>
      <c r="H144" s="59" t="s">
        <v>242</v>
      </c>
      <c r="I144" s="59" t="s">
        <v>243</v>
      </c>
      <c r="J144" s="59" t="s">
        <v>73</v>
      </c>
      <c r="K144" s="59" t="s">
        <v>244</v>
      </c>
      <c r="L144" s="59" t="s">
        <v>77</v>
      </c>
      <c r="M144" s="59" t="s">
        <v>245</v>
      </c>
      <c r="N144" s="59" t="s">
        <v>77</v>
      </c>
      <c r="O144" s="69" t="s">
        <v>246</v>
      </c>
      <c r="P144" s="59" t="s">
        <v>81</v>
      </c>
      <c r="Q144" s="77" t="s">
        <v>247</v>
      </c>
      <c r="R144" s="59" t="s">
        <v>248</v>
      </c>
      <c r="S144" s="59">
        <v>260201</v>
      </c>
      <c r="T144" s="59" t="s">
        <v>30</v>
      </c>
      <c r="U144" s="51" t="s">
        <v>31</v>
      </c>
      <c r="V144" s="72" t="s">
        <v>30</v>
      </c>
      <c r="W144" s="106" t="s">
        <v>249</v>
      </c>
      <c r="X144" s="72" t="s">
        <v>33</v>
      </c>
      <c r="Y144" s="51" t="str">
        <f t="shared" si="2"/>
        <v>260201_TPNB500477_0177_AXXXXXXXXX</v>
      </c>
      <c r="Z144" s="51" t="s">
        <v>34</v>
      </c>
      <c r="AA144" s="51" t="s">
        <v>35</v>
      </c>
      <c r="AB144" s="26"/>
      <c r="AC144" s="26"/>
    </row>
    <row r="145" ht="35" customHeight="1" spans="1:29">
      <c r="A145" s="26"/>
      <c r="B145" s="26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78"/>
      <c r="R145" s="59"/>
      <c r="S145" s="59">
        <v>260201</v>
      </c>
      <c r="T145" s="59" t="s">
        <v>30</v>
      </c>
      <c r="U145" s="51" t="s">
        <v>85</v>
      </c>
      <c r="V145" s="72" t="s">
        <v>30</v>
      </c>
      <c r="W145" s="74" t="s">
        <v>154</v>
      </c>
      <c r="X145" s="72" t="s">
        <v>33</v>
      </c>
      <c r="Y145" s="51" t="str">
        <f t="shared" si="2"/>
        <v>260201_TPNB500597_0094_AXXXXXXXXX</v>
      </c>
      <c r="Z145" s="51" t="s">
        <v>87</v>
      </c>
      <c r="AA145" s="51" t="s">
        <v>35</v>
      </c>
      <c r="AB145" s="26"/>
      <c r="AC145" s="26"/>
    </row>
    <row r="146" ht="35" customHeight="1" spans="1:29">
      <c r="A146" s="26"/>
      <c r="B146" s="26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78"/>
      <c r="R146" s="59"/>
      <c r="S146" s="59">
        <v>260201</v>
      </c>
      <c r="T146" s="59" t="s">
        <v>30</v>
      </c>
      <c r="U146" s="51" t="s">
        <v>88</v>
      </c>
      <c r="V146" s="72" t="s">
        <v>30</v>
      </c>
      <c r="W146" s="26" t="s">
        <v>189</v>
      </c>
      <c r="X146" s="72" t="s">
        <v>33</v>
      </c>
      <c r="Y146" s="51" t="str">
        <f t="shared" si="2"/>
        <v>260201_TPNB500641_0107_AXXXXXXXXX</v>
      </c>
      <c r="Z146" s="51" t="s">
        <v>90</v>
      </c>
      <c r="AA146" s="51" t="s">
        <v>35</v>
      </c>
      <c r="AB146" s="26"/>
      <c r="AC146" s="26"/>
    </row>
    <row r="147" ht="35" customHeight="1" spans="1:29">
      <c r="A147" s="26"/>
      <c r="B147" s="26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78"/>
      <c r="R147" s="59"/>
      <c r="S147" s="59">
        <v>260201</v>
      </c>
      <c r="T147" s="59" t="s">
        <v>30</v>
      </c>
      <c r="U147" s="51" t="s">
        <v>31</v>
      </c>
      <c r="V147" s="72" t="s">
        <v>30</v>
      </c>
      <c r="W147" s="106" t="s">
        <v>250</v>
      </c>
      <c r="X147" s="72" t="s">
        <v>33</v>
      </c>
      <c r="Y147" s="51" t="str">
        <f t="shared" si="2"/>
        <v>260201_TPNB500477_0178_AXXXXXXXXX</v>
      </c>
      <c r="Z147" s="51" t="s">
        <v>34</v>
      </c>
      <c r="AA147" s="51" t="s">
        <v>35</v>
      </c>
      <c r="AB147" s="26"/>
      <c r="AC147" s="26"/>
    </row>
    <row r="148" ht="35" customHeight="1" spans="1:29">
      <c r="A148" s="26"/>
      <c r="B148" s="26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78"/>
      <c r="R148" s="59"/>
      <c r="S148" s="59">
        <v>260201</v>
      </c>
      <c r="T148" s="59" t="s">
        <v>30</v>
      </c>
      <c r="U148" s="51" t="s">
        <v>85</v>
      </c>
      <c r="V148" s="72" t="s">
        <v>30</v>
      </c>
      <c r="W148" s="74" t="s">
        <v>105</v>
      </c>
      <c r="X148" s="72" t="s">
        <v>33</v>
      </c>
      <c r="Y148" s="51" t="str">
        <f t="shared" si="2"/>
        <v>260201_TPNB500597_0095_AXXXXXXXXX</v>
      </c>
      <c r="Z148" s="51" t="s">
        <v>87</v>
      </c>
      <c r="AA148" s="51" t="s">
        <v>35</v>
      </c>
      <c r="AB148" s="26"/>
      <c r="AC148" s="26"/>
    </row>
    <row r="149" ht="35" customHeight="1" spans="1:29">
      <c r="A149" s="26"/>
      <c r="B149" s="26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79"/>
      <c r="R149" s="59"/>
      <c r="S149" s="59">
        <v>260201</v>
      </c>
      <c r="T149" s="59" t="s">
        <v>30</v>
      </c>
      <c r="U149" s="51" t="s">
        <v>88</v>
      </c>
      <c r="V149" s="72" t="s">
        <v>30</v>
      </c>
      <c r="W149" s="26" t="s">
        <v>188</v>
      </c>
      <c r="X149" s="72" t="s">
        <v>33</v>
      </c>
      <c r="Y149" s="51" t="str">
        <f t="shared" si="2"/>
        <v>260201_TPNB500641_0108_AXXXXXXXXX</v>
      </c>
      <c r="Z149" s="51" t="s">
        <v>90</v>
      </c>
      <c r="AA149" s="51" t="s">
        <v>35</v>
      </c>
      <c r="AB149" s="26"/>
      <c r="AC149" s="26"/>
    </row>
    <row r="150" ht="16" customHeight="1" spans="1:29">
      <c r="A150" s="54"/>
      <c r="B150" s="54"/>
      <c r="C150" s="59" t="s">
        <v>251</v>
      </c>
      <c r="D150" s="59" t="s">
        <v>53</v>
      </c>
      <c r="E150" s="59" t="s">
        <v>252</v>
      </c>
      <c r="F150" s="59" t="s">
        <v>53</v>
      </c>
      <c r="G150" s="59" t="s">
        <v>253</v>
      </c>
      <c r="H150" s="59" t="s">
        <v>53</v>
      </c>
      <c r="I150" s="59" t="s">
        <v>254</v>
      </c>
      <c r="J150" s="59" t="s">
        <v>53</v>
      </c>
      <c r="K150" s="59" t="s">
        <v>255</v>
      </c>
      <c r="L150" s="59" t="s">
        <v>53</v>
      </c>
      <c r="M150" s="59" t="s">
        <v>256</v>
      </c>
      <c r="N150" s="59" t="s">
        <v>77</v>
      </c>
      <c r="O150" s="69" t="s">
        <v>257</v>
      </c>
      <c r="P150" s="59" t="s">
        <v>81</v>
      </c>
      <c r="Q150" s="80" t="s">
        <v>258</v>
      </c>
      <c r="R150" s="59" t="s">
        <v>248</v>
      </c>
      <c r="S150" s="59">
        <v>260201</v>
      </c>
      <c r="T150" s="59" t="s">
        <v>30</v>
      </c>
      <c r="U150" s="26" t="s">
        <v>98</v>
      </c>
      <c r="V150" s="72" t="s">
        <v>30</v>
      </c>
      <c r="W150" s="103" t="s">
        <v>121</v>
      </c>
      <c r="X150" s="72" t="s">
        <v>33</v>
      </c>
      <c r="Y150" s="51" t="str">
        <f t="shared" si="2"/>
        <v>260201_TPNB500657_0098_AXXXXXXXXX</v>
      </c>
      <c r="Z150" s="51" t="s">
        <v>100</v>
      </c>
      <c r="AA150" s="51" t="s">
        <v>35</v>
      </c>
      <c r="AB150" s="54"/>
      <c r="AC150" s="55"/>
    </row>
    <row r="151" ht="16" customHeight="1" spans="1:29">
      <c r="A151" s="54"/>
      <c r="B151" s="54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81"/>
      <c r="R151" s="59"/>
      <c r="S151" s="59">
        <v>260201</v>
      </c>
      <c r="T151" s="59" t="s">
        <v>30</v>
      </c>
      <c r="U151" s="26" t="s">
        <v>101</v>
      </c>
      <c r="V151" s="72" t="s">
        <v>30</v>
      </c>
      <c r="W151" s="75" t="s">
        <v>259</v>
      </c>
      <c r="X151" s="72" t="s">
        <v>33</v>
      </c>
      <c r="Y151" s="51" t="str">
        <f t="shared" si="2"/>
        <v>260201_TPNB500530_0118_AXXXXXXXXX</v>
      </c>
      <c r="Z151" s="51" t="s">
        <v>103</v>
      </c>
      <c r="AA151" s="51" t="s">
        <v>35</v>
      </c>
      <c r="AB151" s="54"/>
      <c r="AC151" s="55"/>
    </row>
    <row r="152" ht="16" customHeight="1" spans="1:29">
      <c r="A152" s="54"/>
      <c r="B152" s="54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81"/>
      <c r="R152" s="59"/>
      <c r="S152" s="59">
        <v>260201</v>
      </c>
      <c r="T152" s="59" t="s">
        <v>30</v>
      </c>
      <c r="U152" s="26" t="s">
        <v>104</v>
      </c>
      <c r="V152" s="72" t="s">
        <v>30</v>
      </c>
      <c r="W152" s="45" t="s">
        <v>260</v>
      </c>
      <c r="X152" s="72" t="s">
        <v>33</v>
      </c>
      <c r="Y152" s="51" t="str">
        <f t="shared" si="2"/>
        <v>260201_TPNB500560_0117_AXXXXXXXXX</v>
      </c>
      <c r="Z152" s="51" t="s">
        <v>106</v>
      </c>
      <c r="AA152" s="51" t="s">
        <v>35</v>
      </c>
      <c r="AB152" s="54"/>
      <c r="AC152" s="55"/>
    </row>
    <row r="153" ht="16" customHeight="1" spans="1:29">
      <c r="A153" s="54"/>
      <c r="B153" s="54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81"/>
      <c r="R153" s="59"/>
      <c r="S153" s="59">
        <v>260201</v>
      </c>
      <c r="T153" s="59" t="s">
        <v>30</v>
      </c>
      <c r="U153" s="51" t="s">
        <v>36</v>
      </c>
      <c r="V153" s="72" t="s">
        <v>30</v>
      </c>
      <c r="W153" s="102" t="s">
        <v>261</v>
      </c>
      <c r="X153" s="72" t="s">
        <v>33</v>
      </c>
      <c r="Y153" s="51" t="str">
        <f t="shared" si="2"/>
        <v>260201_NDX551406_RUO_0314_AXXXXXXXXX</v>
      </c>
      <c r="Z153" s="51" t="s">
        <v>38</v>
      </c>
      <c r="AA153" s="51" t="s">
        <v>39</v>
      </c>
      <c r="AB153" s="54"/>
      <c r="AC153" s="55"/>
    </row>
    <row r="154" ht="16" customHeight="1" spans="1:29">
      <c r="A154" s="54"/>
      <c r="B154" s="54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81"/>
      <c r="R154" s="59"/>
      <c r="S154" s="59">
        <v>260201</v>
      </c>
      <c r="T154" s="59" t="s">
        <v>30</v>
      </c>
      <c r="U154" s="51" t="s">
        <v>92</v>
      </c>
      <c r="V154" s="72" t="s">
        <v>30</v>
      </c>
      <c r="W154" s="103" t="s">
        <v>119</v>
      </c>
      <c r="X154" s="72" t="s">
        <v>33</v>
      </c>
      <c r="Y154" s="51" t="str">
        <f t="shared" si="2"/>
        <v>260201_NDX550598_RUO_0089_AXXXXXXXXX</v>
      </c>
      <c r="Z154" s="51" t="s">
        <v>94</v>
      </c>
      <c r="AA154" s="51" t="s">
        <v>39</v>
      </c>
      <c r="AB154" s="54"/>
      <c r="AC154" s="55"/>
    </row>
    <row r="155" ht="16" customHeight="1" spans="1:29">
      <c r="A155" s="54"/>
      <c r="B155" s="54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81"/>
      <c r="R155" s="59"/>
      <c r="S155" s="59">
        <v>260201</v>
      </c>
      <c r="T155" s="59" t="s">
        <v>30</v>
      </c>
      <c r="U155" s="51" t="s">
        <v>95</v>
      </c>
      <c r="V155" s="72" t="s">
        <v>30</v>
      </c>
      <c r="W155" s="103" t="s">
        <v>201</v>
      </c>
      <c r="X155" s="72" t="s">
        <v>33</v>
      </c>
      <c r="Y155" s="51" t="str">
        <f t="shared" si="2"/>
        <v>260201_NDX550778_RUO_0109_AXXXXXXXXX</v>
      </c>
      <c r="Z155" s="51" t="s">
        <v>97</v>
      </c>
      <c r="AA155" s="51" t="s">
        <v>39</v>
      </c>
      <c r="AB155" s="54"/>
      <c r="AC155" s="55"/>
    </row>
    <row r="156" ht="16" customHeight="1" spans="1:29">
      <c r="A156" s="54"/>
      <c r="B156" s="54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81"/>
      <c r="R156" s="59"/>
      <c r="S156" s="59">
        <v>260201</v>
      </c>
      <c r="T156" s="59" t="s">
        <v>30</v>
      </c>
      <c r="U156" s="26" t="s">
        <v>98</v>
      </c>
      <c r="V156" s="72" t="s">
        <v>30</v>
      </c>
      <c r="W156" s="103" t="s">
        <v>137</v>
      </c>
      <c r="X156" s="72" t="s">
        <v>33</v>
      </c>
      <c r="Y156" s="51" t="str">
        <f t="shared" si="2"/>
        <v>260201_TPNB500657_0099_AXXXXXXXXX</v>
      </c>
      <c r="Z156" s="51" t="s">
        <v>100</v>
      </c>
      <c r="AA156" s="51" t="s">
        <v>35</v>
      </c>
      <c r="AB156" s="54"/>
      <c r="AC156" s="55"/>
    </row>
    <row r="157" ht="16" customHeight="1" spans="1:29">
      <c r="A157" s="54"/>
      <c r="B157" s="54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81"/>
      <c r="R157" s="59"/>
      <c r="S157" s="59">
        <v>260201</v>
      </c>
      <c r="T157" s="59" t="s">
        <v>30</v>
      </c>
      <c r="U157" s="26" t="s">
        <v>101</v>
      </c>
      <c r="V157" s="72" t="s">
        <v>30</v>
      </c>
      <c r="W157" s="75" t="s">
        <v>262</v>
      </c>
      <c r="X157" s="72" t="s">
        <v>33</v>
      </c>
      <c r="Y157" s="51" t="str">
        <f t="shared" si="2"/>
        <v>260201_TPNB500530_0119_AXXXXXXXXX</v>
      </c>
      <c r="Z157" s="51" t="s">
        <v>103</v>
      </c>
      <c r="AA157" s="51" t="s">
        <v>35</v>
      </c>
      <c r="AB157" s="54"/>
      <c r="AC157" s="55"/>
    </row>
    <row r="158" ht="16" customHeight="1" spans="1:29">
      <c r="A158" s="54"/>
      <c r="B158" s="54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81"/>
      <c r="R158" s="59"/>
      <c r="S158" s="59">
        <v>260201</v>
      </c>
      <c r="T158" s="59" t="s">
        <v>30</v>
      </c>
      <c r="U158" s="26" t="s">
        <v>104</v>
      </c>
      <c r="V158" s="72" t="s">
        <v>30</v>
      </c>
      <c r="W158" s="45" t="s">
        <v>259</v>
      </c>
      <c r="X158" s="72" t="s">
        <v>33</v>
      </c>
      <c r="Y158" s="51" t="str">
        <f t="shared" si="2"/>
        <v>260201_TPNB500560_0118_AXXXXXXXXX</v>
      </c>
      <c r="Z158" s="51" t="s">
        <v>106</v>
      </c>
      <c r="AA158" s="51" t="s">
        <v>35</v>
      </c>
      <c r="AB158" s="54"/>
      <c r="AC158" s="55"/>
    </row>
    <row r="159" ht="16" customHeight="1" spans="1:29">
      <c r="A159" s="54"/>
      <c r="B159" s="54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81"/>
      <c r="R159" s="59"/>
      <c r="S159" s="59">
        <v>260201</v>
      </c>
      <c r="T159" s="59" t="s">
        <v>30</v>
      </c>
      <c r="U159" s="51" t="s">
        <v>36</v>
      </c>
      <c r="V159" s="72" t="s">
        <v>30</v>
      </c>
      <c r="W159" s="102" t="s">
        <v>263</v>
      </c>
      <c r="X159" s="72" t="s">
        <v>33</v>
      </c>
      <c r="Y159" s="51" t="str">
        <f t="shared" si="2"/>
        <v>260201_NDX551406_RUO_0315_AXXXXXXXXX</v>
      </c>
      <c r="Z159" s="51" t="s">
        <v>38</v>
      </c>
      <c r="AA159" s="51" t="s">
        <v>39</v>
      </c>
      <c r="AB159" s="54"/>
      <c r="AC159" s="55"/>
    </row>
    <row r="160" ht="16" customHeight="1" spans="1:29">
      <c r="A160" s="54"/>
      <c r="B160" s="54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81"/>
      <c r="R160" s="59"/>
      <c r="S160" s="59">
        <v>260201</v>
      </c>
      <c r="T160" s="59" t="s">
        <v>30</v>
      </c>
      <c r="U160" s="51" t="s">
        <v>92</v>
      </c>
      <c r="V160" s="72" t="s">
        <v>30</v>
      </c>
      <c r="W160" s="103" t="s">
        <v>125</v>
      </c>
      <c r="X160" s="72" t="s">
        <v>33</v>
      </c>
      <c r="Y160" s="51" t="str">
        <f t="shared" si="2"/>
        <v>260201_NDX550598_RUO_0090_AXXXXXXXXX</v>
      </c>
      <c r="Z160" s="51" t="s">
        <v>94</v>
      </c>
      <c r="AA160" s="51" t="s">
        <v>39</v>
      </c>
      <c r="AB160" s="54"/>
      <c r="AC160" s="55"/>
    </row>
    <row r="161" ht="16" customHeight="1" spans="1:29">
      <c r="A161" s="54"/>
      <c r="B161" s="54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81"/>
      <c r="R161" s="59"/>
      <c r="S161" s="59">
        <v>260201</v>
      </c>
      <c r="T161" s="59" t="s">
        <v>30</v>
      </c>
      <c r="U161" s="51" t="s">
        <v>95</v>
      </c>
      <c r="V161" s="72" t="s">
        <v>30</v>
      </c>
      <c r="W161" s="103" t="s">
        <v>200</v>
      </c>
      <c r="X161" s="72" t="s">
        <v>33</v>
      </c>
      <c r="Y161" s="51" t="str">
        <f t="shared" si="2"/>
        <v>260201_NDX550778_RUO_0110_AXXXXXXXXX</v>
      </c>
      <c r="Z161" s="51" t="s">
        <v>97</v>
      </c>
      <c r="AA161" s="51" t="s">
        <v>39</v>
      </c>
      <c r="AB161" s="54"/>
      <c r="AC161" s="55"/>
    </row>
    <row r="162" ht="32" customHeight="1" spans="1:29">
      <c r="A162" s="54"/>
      <c r="B162" s="54"/>
      <c r="C162" s="59" t="s">
        <v>251</v>
      </c>
      <c r="D162" s="59" t="s">
        <v>53</v>
      </c>
      <c r="E162" s="59" t="s">
        <v>252</v>
      </c>
      <c r="F162" s="59" t="s">
        <v>53</v>
      </c>
      <c r="G162" s="59" t="s">
        <v>253</v>
      </c>
      <c r="H162" s="59" t="s">
        <v>53</v>
      </c>
      <c r="I162" s="59" t="s">
        <v>264</v>
      </c>
      <c r="J162" s="59" t="s">
        <v>77</v>
      </c>
      <c r="K162" s="59" t="s">
        <v>265</v>
      </c>
      <c r="L162" s="59" t="s">
        <v>77</v>
      </c>
      <c r="M162" s="59" t="s">
        <v>266</v>
      </c>
      <c r="N162" s="59" t="s">
        <v>77</v>
      </c>
      <c r="O162" s="69" t="s">
        <v>267</v>
      </c>
      <c r="P162" s="59" t="s">
        <v>81</v>
      </c>
      <c r="Q162" s="81"/>
      <c r="R162" s="59" t="s">
        <v>268</v>
      </c>
      <c r="S162" s="59">
        <v>260202</v>
      </c>
      <c r="T162" s="59" t="s">
        <v>30</v>
      </c>
      <c r="U162" s="26" t="s">
        <v>98</v>
      </c>
      <c r="V162" s="72" t="s">
        <v>30</v>
      </c>
      <c r="W162" s="101" t="s">
        <v>136</v>
      </c>
      <c r="X162" s="72" t="s">
        <v>33</v>
      </c>
      <c r="Y162" s="51" t="str">
        <f t="shared" si="2"/>
        <v>260202_TPNB500657_0100_AXXXXXXXXX</v>
      </c>
      <c r="Z162" s="51" t="s">
        <v>100</v>
      </c>
      <c r="AA162" s="51" t="s">
        <v>35</v>
      </c>
      <c r="AB162" s="54"/>
      <c r="AC162" s="55"/>
    </row>
    <row r="163" ht="32" customHeight="1" spans="1:29">
      <c r="A163" s="54"/>
      <c r="B163" s="54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81"/>
      <c r="R163" s="59"/>
      <c r="S163" s="59">
        <v>260202</v>
      </c>
      <c r="T163" s="59" t="s">
        <v>30</v>
      </c>
      <c r="U163" s="26" t="s">
        <v>101</v>
      </c>
      <c r="V163" s="72" t="s">
        <v>30</v>
      </c>
      <c r="W163" s="75" t="s">
        <v>32</v>
      </c>
      <c r="X163" s="72" t="s">
        <v>33</v>
      </c>
      <c r="Y163" s="51" t="str">
        <f t="shared" si="2"/>
        <v>260202_TPNB500530_0120_AXXXXXXXXX</v>
      </c>
      <c r="Z163" s="51" t="s">
        <v>103</v>
      </c>
      <c r="AA163" s="51" t="s">
        <v>35</v>
      </c>
      <c r="AB163" s="54"/>
      <c r="AC163" s="55"/>
    </row>
    <row r="164" ht="32" customHeight="1" spans="1:29">
      <c r="A164" s="54"/>
      <c r="B164" s="54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81"/>
      <c r="R164" s="59"/>
      <c r="S164" s="59">
        <v>260202</v>
      </c>
      <c r="T164" s="59" t="s">
        <v>30</v>
      </c>
      <c r="U164" s="51" t="s">
        <v>36</v>
      </c>
      <c r="V164" s="72" t="s">
        <v>30</v>
      </c>
      <c r="W164" s="105" t="s">
        <v>269</v>
      </c>
      <c r="X164" s="72" t="s">
        <v>33</v>
      </c>
      <c r="Y164" s="51" t="str">
        <f t="shared" si="2"/>
        <v>260202_NDX551406_RUO_0316_AXXXXXXXXX</v>
      </c>
      <c r="Z164" s="51" t="s">
        <v>38</v>
      </c>
      <c r="AA164" s="51" t="s">
        <v>39</v>
      </c>
      <c r="AB164" s="54"/>
      <c r="AC164" s="55"/>
    </row>
    <row r="165" ht="32" customHeight="1" spans="1:29">
      <c r="A165" s="54"/>
      <c r="B165" s="54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82"/>
      <c r="R165" s="59"/>
      <c r="S165" s="59">
        <v>260202</v>
      </c>
      <c r="T165" s="59" t="s">
        <v>30</v>
      </c>
      <c r="U165" s="51" t="s">
        <v>92</v>
      </c>
      <c r="V165" s="72" t="s">
        <v>30</v>
      </c>
      <c r="W165" s="101" t="s">
        <v>134</v>
      </c>
      <c r="X165" s="72" t="s">
        <v>33</v>
      </c>
      <c r="Y165" s="51" t="str">
        <f t="shared" si="2"/>
        <v>260202_NDX550598_RUO_0091_AXXXXXXXXX</v>
      </c>
      <c r="Z165" s="51" t="s">
        <v>94</v>
      </c>
      <c r="AA165" s="51" t="s">
        <v>39</v>
      </c>
      <c r="AB165" s="54"/>
      <c r="AC165" s="55"/>
    </row>
    <row r="166" ht="28" spans="1:29">
      <c r="A166" s="26"/>
      <c r="B166" s="26"/>
      <c r="C166" s="59" t="s">
        <v>219</v>
      </c>
      <c r="D166" s="59" t="s">
        <v>242</v>
      </c>
      <c r="E166" s="59" t="s">
        <v>219</v>
      </c>
      <c r="F166" s="59" t="s">
        <v>242</v>
      </c>
      <c r="G166" s="59" t="s">
        <v>229</v>
      </c>
      <c r="H166" s="59" t="s">
        <v>242</v>
      </c>
      <c r="I166" s="59" t="s">
        <v>270</v>
      </c>
      <c r="J166" s="59" t="s">
        <v>73</v>
      </c>
      <c r="K166" s="59" t="s">
        <v>271</v>
      </c>
      <c r="L166" s="59" t="s">
        <v>77</v>
      </c>
      <c r="M166" s="59" t="s">
        <v>272</v>
      </c>
      <c r="N166" s="59" t="s">
        <v>77</v>
      </c>
      <c r="O166" s="69" t="s">
        <v>273</v>
      </c>
      <c r="P166" s="59" t="s">
        <v>144</v>
      </c>
      <c r="Q166" s="77" t="s">
        <v>274</v>
      </c>
      <c r="R166" s="59" t="s">
        <v>268</v>
      </c>
      <c r="S166" s="59">
        <v>260202</v>
      </c>
      <c r="T166" s="59" t="s">
        <v>30</v>
      </c>
      <c r="U166" s="51" t="s">
        <v>31</v>
      </c>
      <c r="V166" s="72" t="s">
        <v>30</v>
      </c>
      <c r="W166" s="106" t="s">
        <v>275</v>
      </c>
      <c r="X166" s="72" t="s">
        <v>33</v>
      </c>
      <c r="Y166" s="51" t="str">
        <f t="shared" si="2"/>
        <v>260202_TPNB500477_0179_AXXXXXXXXX</v>
      </c>
      <c r="Z166" s="51" t="s">
        <v>34</v>
      </c>
      <c r="AA166" s="51" t="s">
        <v>35</v>
      </c>
      <c r="AB166" s="26"/>
      <c r="AC166" s="26"/>
    </row>
    <row r="167" ht="28" spans="1:29">
      <c r="A167" s="26"/>
      <c r="B167" s="26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83"/>
      <c r="R167" s="59"/>
      <c r="S167" s="59">
        <v>260202</v>
      </c>
      <c r="T167" s="59" t="s">
        <v>30</v>
      </c>
      <c r="U167" s="51" t="s">
        <v>85</v>
      </c>
      <c r="V167" s="72" t="s">
        <v>30</v>
      </c>
      <c r="W167" s="74" t="s">
        <v>102</v>
      </c>
      <c r="X167" s="72" t="s">
        <v>33</v>
      </c>
      <c r="Y167" s="51" t="str">
        <f t="shared" si="2"/>
        <v>260202_TPNB500597_0096_AXXXXXXXXX</v>
      </c>
      <c r="Z167" s="51" t="s">
        <v>87</v>
      </c>
      <c r="AA167" s="51" t="s">
        <v>35</v>
      </c>
      <c r="AB167" s="26"/>
      <c r="AC167" s="26"/>
    </row>
    <row r="168" ht="28" spans="1:29">
      <c r="A168" s="26"/>
      <c r="B168" s="26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83"/>
      <c r="R168" s="59"/>
      <c r="S168" s="59">
        <v>260202</v>
      </c>
      <c r="T168" s="59" t="s">
        <v>30</v>
      </c>
      <c r="U168" s="51" t="s">
        <v>88</v>
      </c>
      <c r="V168" s="72" t="s">
        <v>30</v>
      </c>
      <c r="W168" s="26" t="s">
        <v>201</v>
      </c>
      <c r="X168" s="72" t="s">
        <v>33</v>
      </c>
      <c r="Y168" s="51" t="str">
        <f t="shared" si="2"/>
        <v>260202_TPNB500641_0109_AXXXXXXXXX</v>
      </c>
      <c r="Z168" s="51" t="s">
        <v>90</v>
      </c>
      <c r="AA168" s="51" t="s">
        <v>35</v>
      </c>
      <c r="AB168" s="26"/>
      <c r="AC168" s="26"/>
    </row>
    <row r="169" ht="28" spans="1:29">
      <c r="A169" s="26"/>
      <c r="B169" s="26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83"/>
      <c r="R169" s="59"/>
      <c r="S169" s="59">
        <v>260202</v>
      </c>
      <c r="T169" s="59" t="s">
        <v>30</v>
      </c>
      <c r="U169" s="51" t="s">
        <v>31</v>
      </c>
      <c r="V169" s="72" t="s">
        <v>30</v>
      </c>
      <c r="W169" s="106" t="s">
        <v>276</v>
      </c>
      <c r="X169" s="72" t="s">
        <v>33</v>
      </c>
      <c r="Y169" s="51" t="str">
        <f t="shared" si="2"/>
        <v>260202_TPNB500477_0180_AXXXXXXXXX</v>
      </c>
      <c r="Z169" s="51" t="s">
        <v>34</v>
      </c>
      <c r="AA169" s="51" t="s">
        <v>35</v>
      </c>
      <c r="AB169" s="26"/>
      <c r="AC169" s="26"/>
    </row>
    <row r="170" ht="28" spans="1:29">
      <c r="A170" s="26"/>
      <c r="B170" s="26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83"/>
      <c r="R170" s="59"/>
      <c r="S170" s="59">
        <v>260202</v>
      </c>
      <c r="T170" s="59" t="s">
        <v>30</v>
      </c>
      <c r="U170" s="51" t="s">
        <v>85</v>
      </c>
      <c r="V170" s="72" t="s">
        <v>30</v>
      </c>
      <c r="W170" s="74" t="s">
        <v>122</v>
      </c>
      <c r="X170" s="72" t="s">
        <v>33</v>
      </c>
      <c r="Y170" s="51" t="str">
        <f t="shared" si="2"/>
        <v>260202_TPNB500597_0097_AXXXXXXXXX</v>
      </c>
      <c r="Z170" s="51" t="s">
        <v>87</v>
      </c>
      <c r="AA170" s="51" t="s">
        <v>35</v>
      </c>
      <c r="AB170" s="26"/>
      <c r="AC170" s="26"/>
    </row>
    <row r="171" ht="28" spans="1:29">
      <c r="A171" s="26"/>
      <c r="B171" s="26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83"/>
      <c r="R171" s="59"/>
      <c r="S171" s="59">
        <v>260202</v>
      </c>
      <c r="T171" s="59" t="s">
        <v>30</v>
      </c>
      <c r="U171" s="51" t="s">
        <v>88</v>
      </c>
      <c r="V171" s="72" t="s">
        <v>30</v>
      </c>
      <c r="W171" s="26" t="s">
        <v>200</v>
      </c>
      <c r="X171" s="72" t="s">
        <v>33</v>
      </c>
      <c r="Y171" s="51" t="str">
        <f t="shared" si="2"/>
        <v>260202_TPNB500641_0110_AXXXXXXXXX</v>
      </c>
      <c r="Z171" s="51" t="s">
        <v>90</v>
      </c>
      <c r="AA171" s="51" t="s">
        <v>35</v>
      </c>
      <c r="AB171" s="26"/>
      <c r="AC171" s="26"/>
    </row>
    <row r="172" ht="14" customHeight="1" spans="1:29">
      <c r="A172" s="26"/>
      <c r="B172" s="26"/>
      <c r="C172" s="59" t="s">
        <v>219</v>
      </c>
      <c r="D172" s="59" t="s">
        <v>242</v>
      </c>
      <c r="E172" s="59" t="s">
        <v>219</v>
      </c>
      <c r="F172" s="59" t="s">
        <v>242</v>
      </c>
      <c r="G172" s="59" t="s">
        <v>229</v>
      </c>
      <c r="H172" s="59" t="s">
        <v>242</v>
      </c>
      <c r="I172" s="59" t="s">
        <v>277</v>
      </c>
      <c r="J172" s="59" t="s">
        <v>73</v>
      </c>
      <c r="K172" s="59" t="s">
        <v>278</v>
      </c>
      <c r="L172" s="59" t="s">
        <v>77</v>
      </c>
      <c r="M172" s="59" t="s">
        <v>279</v>
      </c>
      <c r="N172" s="59" t="s">
        <v>77</v>
      </c>
      <c r="O172" s="69" t="s">
        <v>280</v>
      </c>
      <c r="P172" s="59" t="s">
        <v>195</v>
      </c>
      <c r="Q172" s="83"/>
      <c r="R172" s="59" t="s">
        <v>281</v>
      </c>
      <c r="S172" s="59">
        <v>260203</v>
      </c>
      <c r="T172" s="59" t="s">
        <v>30</v>
      </c>
      <c r="U172" s="51" t="s">
        <v>31</v>
      </c>
      <c r="V172" s="72" t="s">
        <v>30</v>
      </c>
      <c r="W172" s="106" t="s">
        <v>282</v>
      </c>
      <c r="X172" s="72" t="s">
        <v>33</v>
      </c>
      <c r="Y172" s="51" t="str">
        <f t="shared" si="2"/>
        <v>260203_TPNB500477_0181_AXXXXXXXXX</v>
      </c>
      <c r="Z172" s="51" t="s">
        <v>34</v>
      </c>
      <c r="AA172" s="51" t="s">
        <v>35</v>
      </c>
      <c r="AB172" s="26"/>
      <c r="AC172" s="26"/>
    </row>
    <row r="173" ht="14" customHeight="1" spans="1:29">
      <c r="A173" s="26"/>
      <c r="B173" s="26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83"/>
      <c r="R173" s="59"/>
      <c r="S173" s="59">
        <v>260203</v>
      </c>
      <c r="T173" s="59" t="s">
        <v>30</v>
      </c>
      <c r="U173" s="51" t="s">
        <v>85</v>
      </c>
      <c r="V173" s="72" t="s">
        <v>30</v>
      </c>
      <c r="W173" s="74" t="s">
        <v>121</v>
      </c>
      <c r="X173" s="72" t="s">
        <v>33</v>
      </c>
      <c r="Y173" s="51" t="str">
        <f t="shared" si="2"/>
        <v>260203_TPNB500597_0098_AXXXXXXXXX</v>
      </c>
      <c r="Z173" s="51" t="s">
        <v>87</v>
      </c>
      <c r="AA173" s="51" t="s">
        <v>35</v>
      </c>
      <c r="AB173" s="26"/>
      <c r="AC173" s="26"/>
    </row>
    <row r="174" ht="14" customHeight="1" spans="1:29">
      <c r="A174" s="26"/>
      <c r="B174" s="26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83"/>
      <c r="R174" s="59"/>
      <c r="S174" s="59">
        <v>260203</v>
      </c>
      <c r="T174" s="59" t="s">
        <v>30</v>
      </c>
      <c r="U174" s="51" t="s">
        <v>88</v>
      </c>
      <c r="V174" s="72" t="s">
        <v>30</v>
      </c>
      <c r="W174" s="40" t="s">
        <v>213</v>
      </c>
      <c r="X174" s="72" t="s">
        <v>33</v>
      </c>
      <c r="Y174" s="51" t="str">
        <f t="shared" si="2"/>
        <v>260203_TPNB500641_0111_AXXXXXXXXX</v>
      </c>
      <c r="Z174" s="51" t="s">
        <v>90</v>
      </c>
      <c r="AA174" s="51" t="s">
        <v>35</v>
      </c>
      <c r="AB174" s="26"/>
      <c r="AC174" s="26"/>
    </row>
    <row r="175" ht="14" customHeight="1" spans="1:29">
      <c r="A175" s="26"/>
      <c r="B175" s="26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83"/>
      <c r="R175" s="59"/>
      <c r="S175" s="59">
        <v>260203</v>
      </c>
      <c r="T175" s="59" t="s">
        <v>30</v>
      </c>
      <c r="U175" s="51" t="s">
        <v>31</v>
      </c>
      <c r="V175" s="72" t="s">
        <v>30</v>
      </c>
      <c r="W175" s="106" t="s">
        <v>283</v>
      </c>
      <c r="X175" s="72" t="s">
        <v>33</v>
      </c>
      <c r="Y175" s="51" t="str">
        <f t="shared" si="2"/>
        <v>260203_TPNB500477_0182_AXXXXXXXXX</v>
      </c>
      <c r="Z175" s="51" t="s">
        <v>34</v>
      </c>
      <c r="AA175" s="51" t="s">
        <v>35</v>
      </c>
      <c r="AB175" s="26"/>
      <c r="AC175" s="26"/>
    </row>
    <row r="176" ht="14" customHeight="1" spans="1:29">
      <c r="A176" s="26"/>
      <c r="B176" s="26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83"/>
      <c r="R176" s="59"/>
      <c r="S176" s="59">
        <v>260203</v>
      </c>
      <c r="T176" s="59" t="s">
        <v>30</v>
      </c>
      <c r="U176" s="51" t="s">
        <v>85</v>
      </c>
      <c r="V176" s="72" t="s">
        <v>30</v>
      </c>
      <c r="W176" s="74" t="s">
        <v>137</v>
      </c>
      <c r="X176" s="72" t="s">
        <v>33</v>
      </c>
      <c r="Y176" s="51" t="str">
        <f t="shared" si="2"/>
        <v>260203_TPNB500597_0099_AXXXXXXXXX</v>
      </c>
      <c r="Z176" s="51" t="s">
        <v>87</v>
      </c>
      <c r="AA176" s="51" t="s">
        <v>35</v>
      </c>
      <c r="AB176" s="26"/>
      <c r="AC176" s="26"/>
    </row>
    <row r="177" ht="14" customHeight="1" spans="1:29">
      <c r="A177" s="26"/>
      <c r="B177" s="26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83"/>
      <c r="R177" s="59"/>
      <c r="S177" s="59">
        <v>260203</v>
      </c>
      <c r="T177" s="59" t="s">
        <v>30</v>
      </c>
      <c r="U177" s="51" t="s">
        <v>88</v>
      </c>
      <c r="V177" s="72" t="s">
        <v>30</v>
      </c>
      <c r="W177" s="40" t="s">
        <v>212</v>
      </c>
      <c r="X177" s="72" t="s">
        <v>33</v>
      </c>
      <c r="Y177" s="51" t="str">
        <f t="shared" si="2"/>
        <v>260203_TPNB500641_0112_AXXXXXXXXX</v>
      </c>
      <c r="Z177" s="51" t="s">
        <v>90</v>
      </c>
      <c r="AA177" s="51" t="s">
        <v>35</v>
      </c>
      <c r="AB177" s="26"/>
      <c r="AC177" s="26"/>
    </row>
    <row r="178" ht="15" customHeight="1" spans="1:29">
      <c r="A178" s="26"/>
      <c r="B178" s="26"/>
      <c r="C178" s="59" t="s">
        <v>219</v>
      </c>
      <c r="D178" s="59" t="s">
        <v>242</v>
      </c>
      <c r="E178" s="59" t="s">
        <v>219</v>
      </c>
      <c r="F178" s="59" t="s">
        <v>242</v>
      </c>
      <c r="G178" s="59" t="s">
        <v>229</v>
      </c>
      <c r="H178" s="59" t="s">
        <v>242</v>
      </c>
      <c r="I178" s="59" t="s">
        <v>284</v>
      </c>
      <c r="J178" s="59" t="s">
        <v>73</v>
      </c>
      <c r="K178" s="59" t="s">
        <v>285</v>
      </c>
      <c r="L178" s="59" t="s">
        <v>77</v>
      </c>
      <c r="M178" s="59" t="s">
        <v>286</v>
      </c>
      <c r="N178" s="59" t="s">
        <v>77</v>
      </c>
      <c r="O178" s="69" t="s">
        <v>287</v>
      </c>
      <c r="P178" s="59" t="s">
        <v>207</v>
      </c>
      <c r="Q178" s="83"/>
      <c r="R178" s="59" t="s">
        <v>288</v>
      </c>
      <c r="S178" s="59">
        <v>260204</v>
      </c>
      <c r="T178" s="59" t="s">
        <v>30</v>
      </c>
      <c r="U178" s="51" t="s">
        <v>31</v>
      </c>
      <c r="V178" s="72" t="s">
        <v>30</v>
      </c>
      <c r="W178" s="106" t="s">
        <v>289</v>
      </c>
      <c r="X178" s="72" t="s">
        <v>33</v>
      </c>
      <c r="Y178" s="51" t="str">
        <f t="shared" si="2"/>
        <v>260204_TPNB500477_0183_AXXXXXXXXX</v>
      </c>
      <c r="Z178" s="51" t="s">
        <v>34</v>
      </c>
      <c r="AA178" s="51" t="s">
        <v>35</v>
      </c>
      <c r="AB178" s="26"/>
      <c r="AC178" s="26"/>
    </row>
    <row r="179" ht="15" customHeight="1" spans="1:29">
      <c r="A179" s="26"/>
      <c r="B179" s="26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83"/>
      <c r="R179" s="59"/>
      <c r="S179" s="59">
        <v>260204</v>
      </c>
      <c r="T179" s="59" t="s">
        <v>30</v>
      </c>
      <c r="U179" s="51" t="s">
        <v>85</v>
      </c>
      <c r="V179" s="72" t="s">
        <v>30</v>
      </c>
      <c r="W179" s="74" t="s">
        <v>136</v>
      </c>
      <c r="X179" s="72" t="s">
        <v>33</v>
      </c>
      <c r="Y179" s="51" t="str">
        <f t="shared" si="2"/>
        <v>260204_TPNB500597_0100_AXXXXXXXXX</v>
      </c>
      <c r="Z179" s="51" t="s">
        <v>87</v>
      </c>
      <c r="AA179" s="51" t="s">
        <v>35</v>
      </c>
      <c r="AB179" s="26"/>
      <c r="AC179" s="26"/>
    </row>
    <row r="180" ht="15" customHeight="1" spans="1:29">
      <c r="A180" s="26"/>
      <c r="B180" s="26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83"/>
      <c r="R180" s="59"/>
      <c r="S180" s="59">
        <v>260204</v>
      </c>
      <c r="T180" s="59" t="s">
        <v>30</v>
      </c>
      <c r="U180" s="51" t="s">
        <v>88</v>
      </c>
      <c r="V180" s="72" t="s">
        <v>30</v>
      </c>
      <c r="W180" s="40" t="s">
        <v>223</v>
      </c>
      <c r="X180" s="72" t="s">
        <v>33</v>
      </c>
      <c r="Y180" s="51" t="str">
        <f t="shared" si="2"/>
        <v>260204_TPNB500641_0113_AXXXXXXXXX</v>
      </c>
      <c r="Z180" s="51" t="s">
        <v>90</v>
      </c>
      <c r="AA180" s="51" t="s">
        <v>35</v>
      </c>
      <c r="AB180" s="26"/>
      <c r="AC180" s="26"/>
    </row>
    <row r="181" ht="15" customHeight="1" spans="1:29">
      <c r="A181" s="26"/>
      <c r="B181" s="26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83"/>
      <c r="R181" s="59"/>
      <c r="S181" s="59">
        <v>260204</v>
      </c>
      <c r="T181" s="59" t="s">
        <v>30</v>
      </c>
      <c r="U181" s="51" t="s">
        <v>31</v>
      </c>
      <c r="V181" s="72" t="s">
        <v>30</v>
      </c>
      <c r="W181" s="106" t="s">
        <v>290</v>
      </c>
      <c r="X181" s="72" t="s">
        <v>33</v>
      </c>
      <c r="Y181" s="51" t="str">
        <f t="shared" si="2"/>
        <v>260204_TPNB500477_0184_AXXXXXXXXX</v>
      </c>
      <c r="Z181" s="51" t="s">
        <v>34</v>
      </c>
      <c r="AA181" s="51" t="s">
        <v>35</v>
      </c>
      <c r="AB181" s="26"/>
      <c r="AC181" s="26"/>
    </row>
    <row r="182" ht="15" customHeight="1" spans="1:29">
      <c r="A182" s="26"/>
      <c r="B182" s="26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83"/>
      <c r="R182" s="59"/>
      <c r="S182" s="59">
        <v>260204</v>
      </c>
      <c r="T182" s="59" t="s">
        <v>30</v>
      </c>
      <c r="U182" s="51" t="s">
        <v>85</v>
      </c>
      <c r="V182" s="72" t="s">
        <v>30</v>
      </c>
      <c r="W182" s="74" t="s">
        <v>152</v>
      </c>
      <c r="X182" s="72" t="s">
        <v>33</v>
      </c>
      <c r="Y182" s="51" t="str">
        <f t="shared" si="2"/>
        <v>260204_TPNB500597_0101_AXXXXXXXXX</v>
      </c>
      <c r="Z182" s="51" t="s">
        <v>87</v>
      </c>
      <c r="AA182" s="51" t="s">
        <v>35</v>
      </c>
      <c r="AB182" s="26"/>
      <c r="AC182" s="26"/>
    </row>
    <row r="183" ht="15" customHeight="1" spans="1:29">
      <c r="A183" s="26"/>
      <c r="B183" s="26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83"/>
      <c r="R183" s="59"/>
      <c r="S183" s="59">
        <v>260204</v>
      </c>
      <c r="T183" s="59" t="s">
        <v>30</v>
      </c>
      <c r="U183" s="51" t="s">
        <v>88</v>
      </c>
      <c r="V183" s="72" t="s">
        <v>30</v>
      </c>
      <c r="W183" s="40" t="s">
        <v>222</v>
      </c>
      <c r="X183" s="72" t="s">
        <v>33</v>
      </c>
      <c r="Y183" s="51" t="str">
        <f t="shared" si="2"/>
        <v>260204_TPNB500641_0114_AXXXXXXXXX</v>
      </c>
      <c r="Z183" s="51" t="s">
        <v>90</v>
      </c>
      <c r="AA183" s="51" t="s">
        <v>35</v>
      </c>
      <c r="AB183" s="26"/>
      <c r="AC183" s="26"/>
    </row>
    <row r="184" ht="30" customHeight="1" spans="1:29">
      <c r="A184" s="26"/>
      <c r="B184" s="26"/>
      <c r="C184" s="59" t="s">
        <v>219</v>
      </c>
      <c r="D184" s="59" t="s">
        <v>242</v>
      </c>
      <c r="E184" s="59" t="s">
        <v>219</v>
      </c>
      <c r="F184" s="59" t="s">
        <v>242</v>
      </c>
      <c r="G184" s="59" t="s">
        <v>229</v>
      </c>
      <c r="H184" s="59" t="s">
        <v>242</v>
      </c>
      <c r="I184" s="59" t="s">
        <v>291</v>
      </c>
      <c r="J184" s="59" t="s">
        <v>73</v>
      </c>
      <c r="K184" s="59" t="s">
        <v>292</v>
      </c>
      <c r="L184" s="59" t="s">
        <v>77</v>
      </c>
      <c r="M184" s="59" t="s">
        <v>293</v>
      </c>
      <c r="N184" s="59" t="s">
        <v>77</v>
      </c>
      <c r="O184" s="69" t="s">
        <v>294</v>
      </c>
      <c r="P184" s="59" t="s">
        <v>207</v>
      </c>
      <c r="Q184" s="83"/>
      <c r="R184" s="59" t="s">
        <v>295</v>
      </c>
      <c r="S184" s="59">
        <v>260205</v>
      </c>
      <c r="T184" s="59" t="s">
        <v>30</v>
      </c>
      <c r="U184" s="51" t="s">
        <v>31</v>
      </c>
      <c r="V184" s="72" t="s">
        <v>30</v>
      </c>
      <c r="W184" s="106" t="s">
        <v>296</v>
      </c>
      <c r="X184" s="72" t="s">
        <v>33</v>
      </c>
      <c r="Y184" s="51" t="str">
        <f t="shared" si="2"/>
        <v>260205_TPNB500477_0185_AXXXXXXXXX</v>
      </c>
      <c r="Z184" s="51" t="s">
        <v>34</v>
      </c>
      <c r="AA184" s="51" t="s">
        <v>35</v>
      </c>
      <c r="AB184" s="26"/>
      <c r="AC184" s="26"/>
    </row>
    <row r="185" ht="30" customHeight="1" spans="1:29">
      <c r="A185" s="26"/>
      <c r="B185" s="26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84"/>
      <c r="R185" s="59"/>
      <c r="S185" s="59">
        <v>260205</v>
      </c>
      <c r="T185" s="59" t="s">
        <v>30</v>
      </c>
      <c r="U185" s="51" t="s">
        <v>85</v>
      </c>
      <c r="V185" s="72" t="s">
        <v>30</v>
      </c>
      <c r="W185" s="86" t="s">
        <v>151</v>
      </c>
      <c r="X185" s="72" t="s">
        <v>33</v>
      </c>
      <c r="Y185" s="51" t="str">
        <f t="shared" si="2"/>
        <v>260205_TPNB500597_0102_AXXXXXXXXX</v>
      </c>
      <c r="Z185" s="51" t="s">
        <v>87</v>
      </c>
      <c r="AA185" s="51" t="s">
        <v>35</v>
      </c>
      <c r="AB185" s="26"/>
      <c r="AC185" s="26"/>
    </row>
    <row r="186" ht="14" customHeight="1" spans="1:29">
      <c r="A186" s="26"/>
      <c r="B186" s="26"/>
      <c r="C186" s="59" t="s">
        <v>281</v>
      </c>
      <c r="D186" s="59" t="s">
        <v>242</v>
      </c>
      <c r="E186" s="59" t="s">
        <v>281</v>
      </c>
      <c r="F186" s="59" t="s">
        <v>242</v>
      </c>
      <c r="G186" s="59" t="s">
        <v>288</v>
      </c>
      <c r="H186" s="59" t="s">
        <v>242</v>
      </c>
      <c r="I186" s="59" t="s">
        <v>297</v>
      </c>
      <c r="J186" s="59" t="s">
        <v>73</v>
      </c>
      <c r="K186" s="59" t="s">
        <v>298</v>
      </c>
      <c r="L186" s="59" t="s">
        <v>77</v>
      </c>
      <c r="M186" s="59" t="s">
        <v>299</v>
      </c>
      <c r="N186" s="59" t="s">
        <v>77</v>
      </c>
      <c r="O186" s="69" t="s">
        <v>300</v>
      </c>
      <c r="P186" s="59" t="s">
        <v>81</v>
      </c>
      <c r="Q186" s="48" t="s">
        <v>301</v>
      </c>
      <c r="R186" s="59" t="s">
        <v>302</v>
      </c>
      <c r="S186" s="59">
        <v>260206</v>
      </c>
      <c r="T186" s="59" t="s">
        <v>30</v>
      </c>
      <c r="U186" s="51" t="s">
        <v>31</v>
      </c>
      <c r="V186" s="72" t="s">
        <v>30</v>
      </c>
      <c r="W186" s="102" t="s">
        <v>303</v>
      </c>
      <c r="X186" s="72" t="s">
        <v>33</v>
      </c>
      <c r="Y186" s="51" t="str">
        <f t="shared" si="2"/>
        <v>260206_TPNB500477_0187_AXXXXXXXXX</v>
      </c>
      <c r="Z186" s="51" t="s">
        <v>34</v>
      </c>
      <c r="AA186" s="51" t="s">
        <v>35</v>
      </c>
      <c r="AB186" s="26"/>
      <c r="AC186" s="26"/>
    </row>
    <row r="187" ht="14" customHeight="1" spans="1:29">
      <c r="A187" s="26"/>
      <c r="B187" s="26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1"/>
      <c r="R187" s="59"/>
      <c r="S187" s="59">
        <v>260206</v>
      </c>
      <c r="T187" s="59" t="s">
        <v>30</v>
      </c>
      <c r="U187" s="51" t="s">
        <v>85</v>
      </c>
      <c r="V187" s="72" t="s">
        <v>30</v>
      </c>
      <c r="W187" s="74" t="s">
        <v>165</v>
      </c>
      <c r="X187" s="72" t="s">
        <v>33</v>
      </c>
      <c r="Y187" s="51" t="str">
        <f t="shared" si="2"/>
        <v>260206_TPNB500597_0104_AXXXXXXXXX</v>
      </c>
      <c r="Z187" s="51" t="s">
        <v>87</v>
      </c>
      <c r="AA187" s="51" t="s">
        <v>35</v>
      </c>
      <c r="AB187" s="26"/>
      <c r="AC187" s="26"/>
    </row>
    <row r="188" ht="14" customHeight="1" spans="1:29">
      <c r="A188" s="26"/>
      <c r="B188" s="26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1"/>
      <c r="R188" s="59"/>
      <c r="S188" s="59">
        <v>260206</v>
      </c>
      <c r="T188" s="59" t="s">
        <v>30</v>
      </c>
      <c r="U188" s="51" t="s">
        <v>88</v>
      </c>
      <c r="V188" s="72" t="s">
        <v>30</v>
      </c>
      <c r="W188" s="40" t="s">
        <v>233</v>
      </c>
      <c r="X188" s="72" t="s">
        <v>33</v>
      </c>
      <c r="Y188" s="51" t="str">
        <f t="shared" si="2"/>
        <v>260206_TPNB500641_0115_AXXXXXXXXX</v>
      </c>
      <c r="Z188" s="51" t="s">
        <v>90</v>
      </c>
      <c r="AA188" s="51" t="s">
        <v>35</v>
      </c>
      <c r="AB188" s="26"/>
      <c r="AC188" s="26"/>
    </row>
    <row r="189" ht="14" customHeight="1" spans="1:29">
      <c r="A189" s="26"/>
      <c r="B189" s="26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1"/>
      <c r="R189" s="59"/>
      <c r="S189" s="59">
        <v>260206</v>
      </c>
      <c r="T189" s="59" t="s">
        <v>30</v>
      </c>
      <c r="U189" s="51" t="s">
        <v>31</v>
      </c>
      <c r="V189" s="72" t="s">
        <v>30</v>
      </c>
      <c r="W189" s="102" t="s">
        <v>304</v>
      </c>
      <c r="X189" s="72" t="s">
        <v>33</v>
      </c>
      <c r="Y189" s="51" t="str">
        <f t="shared" si="2"/>
        <v>260206_TPNB500477_0188_AXXXXXXXXX</v>
      </c>
      <c r="Z189" s="51" t="s">
        <v>34</v>
      </c>
      <c r="AA189" s="51" t="s">
        <v>35</v>
      </c>
      <c r="AB189" s="26"/>
      <c r="AC189" s="26"/>
    </row>
    <row r="190" ht="14" customHeight="1" spans="1:29">
      <c r="A190" s="26"/>
      <c r="B190" s="26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1"/>
      <c r="R190" s="59"/>
      <c r="S190" s="59">
        <v>260206</v>
      </c>
      <c r="T190" s="59" t="s">
        <v>30</v>
      </c>
      <c r="U190" s="51" t="s">
        <v>85</v>
      </c>
      <c r="V190" s="72" t="s">
        <v>30</v>
      </c>
      <c r="W190" s="74" t="s">
        <v>178</v>
      </c>
      <c r="X190" s="72" t="s">
        <v>33</v>
      </c>
      <c r="Y190" s="51" t="str">
        <f t="shared" si="2"/>
        <v>260206_TPNB500597_0105_AXXXXXXXXX</v>
      </c>
      <c r="Z190" s="51" t="s">
        <v>87</v>
      </c>
      <c r="AA190" s="51" t="s">
        <v>35</v>
      </c>
      <c r="AB190" s="26"/>
      <c r="AC190" s="26"/>
    </row>
    <row r="191" ht="14" customHeight="1" spans="1:29">
      <c r="A191" s="26"/>
      <c r="B191" s="26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1"/>
      <c r="R191" s="59"/>
      <c r="S191" s="59">
        <v>260206</v>
      </c>
      <c r="T191" s="59" t="s">
        <v>30</v>
      </c>
      <c r="U191" s="51" t="s">
        <v>88</v>
      </c>
      <c r="V191" s="72" t="s">
        <v>30</v>
      </c>
      <c r="W191" s="40" t="s">
        <v>232</v>
      </c>
      <c r="X191" s="72" t="s">
        <v>33</v>
      </c>
      <c r="Y191" s="51" t="str">
        <f t="shared" si="2"/>
        <v>260206_TPNB500641_0116_AXXXXXXXXX</v>
      </c>
      <c r="Z191" s="51" t="s">
        <v>90</v>
      </c>
      <c r="AA191" s="51" t="s">
        <v>35</v>
      </c>
      <c r="AB191" s="26"/>
      <c r="AC191" s="26"/>
    </row>
    <row r="192" ht="26" customHeight="1" spans="1:29">
      <c r="A192" s="26"/>
      <c r="B192" s="26"/>
      <c r="C192" s="59" t="s">
        <v>281</v>
      </c>
      <c r="D192" s="59" t="s">
        <v>242</v>
      </c>
      <c r="E192" s="59" t="s">
        <v>281</v>
      </c>
      <c r="F192" s="59" t="s">
        <v>242</v>
      </c>
      <c r="G192" s="59" t="s">
        <v>288</v>
      </c>
      <c r="H192" s="59" t="s">
        <v>242</v>
      </c>
      <c r="I192" s="59" t="s">
        <v>305</v>
      </c>
      <c r="J192" s="59" t="s">
        <v>73</v>
      </c>
      <c r="K192" s="59" t="s">
        <v>306</v>
      </c>
      <c r="L192" s="59" t="s">
        <v>77</v>
      </c>
      <c r="M192" s="59" t="s">
        <v>307</v>
      </c>
      <c r="N192" s="59" t="s">
        <v>77</v>
      </c>
      <c r="O192" s="76" t="s">
        <v>308</v>
      </c>
      <c r="P192" s="59" t="s">
        <v>81</v>
      </c>
      <c r="Q192" s="51"/>
      <c r="R192" s="59" t="s">
        <v>309</v>
      </c>
      <c r="S192" s="59">
        <v>260207</v>
      </c>
      <c r="T192" s="59" t="s">
        <v>30</v>
      </c>
      <c r="U192" s="51" t="s">
        <v>31</v>
      </c>
      <c r="V192" s="72" t="s">
        <v>30</v>
      </c>
      <c r="W192" s="102" t="s">
        <v>310</v>
      </c>
      <c r="X192" s="72" t="s">
        <v>33</v>
      </c>
      <c r="Y192" s="51" t="str">
        <f t="shared" si="2"/>
        <v>260207_TPNB500477_0189_AXXXXXXXXX</v>
      </c>
      <c r="Z192" s="51" t="s">
        <v>34</v>
      </c>
      <c r="AA192" s="51" t="s">
        <v>35</v>
      </c>
      <c r="AB192" s="26"/>
      <c r="AC192" s="26"/>
    </row>
    <row r="193" ht="26" customHeight="1" spans="1:29">
      <c r="A193" s="26"/>
      <c r="B193" s="26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90"/>
      <c r="P193" s="59"/>
      <c r="Q193" s="51"/>
      <c r="R193" s="59"/>
      <c r="S193" s="59">
        <v>260207</v>
      </c>
      <c r="T193" s="59" t="s">
        <v>30</v>
      </c>
      <c r="U193" s="51" t="s">
        <v>85</v>
      </c>
      <c r="V193" s="72" t="s">
        <v>30</v>
      </c>
      <c r="W193" s="86" t="s">
        <v>177</v>
      </c>
      <c r="X193" s="72" t="s">
        <v>33</v>
      </c>
      <c r="Y193" s="51" t="str">
        <f t="shared" si="2"/>
        <v>260207_TPNB500597_0106_AXXXXXXXXX</v>
      </c>
      <c r="Z193" s="51" t="s">
        <v>87</v>
      </c>
      <c r="AA193" s="51" t="s">
        <v>35</v>
      </c>
      <c r="AB193" s="26"/>
      <c r="AC193" s="26"/>
    </row>
    <row r="194" ht="26" customHeight="1" spans="1:29">
      <c r="A194" s="26"/>
      <c r="B194" s="26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90"/>
      <c r="P194" s="59"/>
      <c r="Q194" s="51"/>
      <c r="R194" s="59"/>
      <c r="S194" s="59">
        <v>260207</v>
      </c>
      <c r="T194" s="59" t="s">
        <v>30</v>
      </c>
      <c r="U194" s="51" t="s">
        <v>88</v>
      </c>
      <c r="V194" s="72" t="s">
        <v>30</v>
      </c>
      <c r="W194" s="85" t="s">
        <v>260</v>
      </c>
      <c r="X194" s="72" t="s">
        <v>33</v>
      </c>
      <c r="Y194" s="51" t="str">
        <f t="shared" ref="Y194:Y257" si="3">S194&amp;T194&amp;U194&amp;V194&amp;W194&amp;X194</f>
        <v>260207_TPNB500641_0117_AXXXXXXXXX</v>
      </c>
      <c r="Z194" s="51" t="s">
        <v>90</v>
      </c>
      <c r="AA194" s="51" t="s">
        <v>35</v>
      </c>
      <c r="AB194" s="26"/>
      <c r="AC194" s="26"/>
    </row>
    <row r="195" ht="15" customHeight="1" spans="1:29">
      <c r="A195" s="26"/>
      <c r="B195" s="26"/>
      <c r="C195" s="87" t="s">
        <v>311</v>
      </c>
      <c r="D195" s="87" t="s">
        <v>242</v>
      </c>
      <c r="E195" s="87" t="s">
        <v>311</v>
      </c>
      <c r="F195" s="87" t="s">
        <v>242</v>
      </c>
      <c r="G195" s="89" t="s">
        <v>312</v>
      </c>
      <c r="H195" s="89" t="s">
        <v>242</v>
      </c>
      <c r="I195" s="89" t="s">
        <v>313</v>
      </c>
      <c r="J195" s="87" t="s">
        <v>73</v>
      </c>
      <c r="K195" s="87" t="s">
        <v>314</v>
      </c>
      <c r="L195" s="87" t="s">
        <v>315</v>
      </c>
      <c r="M195" s="87" t="s">
        <v>316</v>
      </c>
      <c r="N195" s="87" t="s">
        <v>315</v>
      </c>
      <c r="O195" s="91" t="s">
        <v>317</v>
      </c>
      <c r="P195" s="89" t="s">
        <v>81</v>
      </c>
      <c r="Q195" s="93" t="s">
        <v>318</v>
      </c>
      <c r="R195" s="87" t="s">
        <v>319</v>
      </c>
      <c r="S195" s="59">
        <v>260210</v>
      </c>
      <c r="T195" s="59" t="s">
        <v>30</v>
      </c>
      <c r="U195" s="51" t="s">
        <v>31</v>
      </c>
      <c r="V195" s="72" t="s">
        <v>30</v>
      </c>
      <c r="W195" s="102" t="s">
        <v>320</v>
      </c>
      <c r="X195" s="72" t="s">
        <v>33</v>
      </c>
      <c r="Y195" s="51" t="str">
        <f t="shared" si="3"/>
        <v>260210_TPNB500477_0195_AXXXXXXXXX</v>
      </c>
      <c r="Z195" s="51" t="s">
        <v>34</v>
      </c>
      <c r="AA195" s="51" t="s">
        <v>35</v>
      </c>
      <c r="AB195" s="26"/>
      <c r="AC195" s="26"/>
    </row>
    <row r="196" ht="15" customHeight="1" spans="1:29">
      <c r="A196" s="26"/>
      <c r="B196" s="26"/>
      <c r="C196" s="88"/>
      <c r="D196" s="88"/>
      <c r="E196" s="88"/>
      <c r="F196" s="88"/>
      <c r="G196" s="83"/>
      <c r="H196" s="83"/>
      <c r="I196" s="83"/>
      <c r="J196" s="88"/>
      <c r="K196" s="88"/>
      <c r="L196" s="88"/>
      <c r="M196" s="88"/>
      <c r="N196" s="88"/>
      <c r="O196" s="81"/>
      <c r="P196" s="83"/>
      <c r="Q196" s="94"/>
      <c r="R196" s="88"/>
      <c r="S196" s="59">
        <v>260210</v>
      </c>
      <c r="T196" s="59" t="s">
        <v>30</v>
      </c>
      <c r="U196" s="51" t="s">
        <v>85</v>
      </c>
      <c r="V196" s="72" t="s">
        <v>30</v>
      </c>
      <c r="W196" s="74" t="s">
        <v>213</v>
      </c>
      <c r="X196" s="72" t="s">
        <v>33</v>
      </c>
      <c r="Y196" s="51" t="str">
        <f t="shared" si="3"/>
        <v>260210_TPNB500597_0111_AXXXXXXXXX</v>
      </c>
      <c r="Z196" s="51" t="s">
        <v>87</v>
      </c>
      <c r="AA196" s="51" t="s">
        <v>35</v>
      </c>
      <c r="AB196" s="26"/>
      <c r="AC196" s="26"/>
    </row>
    <row r="197" ht="15" customHeight="1" spans="1:29">
      <c r="A197" s="26"/>
      <c r="B197" s="26"/>
      <c r="C197" s="88"/>
      <c r="D197" s="88"/>
      <c r="E197" s="88"/>
      <c r="F197" s="88"/>
      <c r="G197" s="83"/>
      <c r="H197" s="83"/>
      <c r="I197" s="83"/>
      <c r="J197" s="88"/>
      <c r="K197" s="88"/>
      <c r="L197" s="88"/>
      <c r="M197" s="88"/>
      <c r="N197" s="88"/>
      <c r="O197" s="81"/>
      <c r="P197" s="83"/>
      <c r="Q197" s="94"/>
      <c r="R197" s="88"/>
      <c r="S197" s="59">
        <v>260210</v>
      </c>
      <c r="T197" s="59" t="s">
        <v>30</v>
      </c>
      <c r="U197" s="51" t="s">
        <v>88</v>
      </c>
      <c r="V197" s="72" t="s">
        <v>30</v>
      </c>
      <c r="W197" s="40" t="s">
        <v>321</v>
      </c>
      <c r="X197" s="72" t="s">
        <v>33</v>
      </c>
      <c r="Y197" s="51" t="str">
        <f t="shared" si="3"/>
        <v>260210_TPNB500641_0123_AXXXXXXXXX</v>
      </c>
      <c r="Z197" s="51" t="s">
        <v>90</v>
      </c>
      <c r="AA197" s="51" t="s">
        <v>35</v>
      </c>
      <c r="AB197" s="26"/>
      <c r="AC197" s="26"/>
    </row>
    <row r="198" ht="15" customHeight="1" spans="1:29">
      <c r="A198" s="26"/>
      <c r="B198" s="26"/>
      <c r="C198" s="88"/>
      <c r="D198" s="88"/>
      <c r="E198" s="88"/>
      <c r="F198" s="88"/>
      <c r="G198" s="83"/>
      <c r="H198" s="83"/>
      <c r="I198" s="83"/>
      <c r="J198" s="88"/>
      <c r="K198" s="88"/>
      <c r="L198" s="88"/>
      <c r="M198" s="88"/>
      <c r="N198" s="88"/>
      <c r="O198" s="81"/>
      <c r="P198" s="83"/>
      <c r="Q198" s="94"/>
      <c r="R198" s="88"/>
      <c r="S198" s="59">
        <v>260210</v>
      </c>
      <c r="T198" s="59" t="s">
        <v>30</v>
      </c>
      <c r="U198" s="26" t="s">
        <v>98</v>
      </c>
      <c r="V198" s="72" t="s">
        <v>30</v>
      </c>
      <c r="W198" s="102" t="s">
        <v>322</v>
      </c>
      <c r="X198" s="72" t="s">
        <v>33</v>
      </c>
      <c r="Y198" s="51" t="str">
        <f t="shared" si="3"/>
        <v>260210_TPNB500657_0129_AXXXXXXXXX</v>
      </c>
      <c r="Z198" s="51" t="s">
        <v>100</v>
      </c>
      <c r="AA198" s="51" t="s">
        <v>35</v>
      </c>
      <c r="AB198" s="26"/>
      <c r="AC198" s="26"/>
    </row>
    <row r="199" ht="15" customHeight="1" spans="1:29">
      <c r="A199" s="26"/>
      <c r="B199" s="26"/>
      <c r="C199" s="88"/>
      <c r="D199" s="88"/>
      <c r="E199" s="88"/>
      <c r="F199" s="88"/>
      <c r="G199" s="83"/>
      <c r="H199" s="83"/>
      <c r="I199" s="83"/>
      <c r="J199" s="88"/>
      <c r="K199" s="88"/>
      <c r="L199" s="88"/>
      <c r="M199" s="88"/>
      <c r="N199" s="88"/>
      <c r="O199" s="81"/>
      <c r="P199" s="83"/>
      <c r="Q199" s="94"/>
      <c r="R199" s="88"/>
      <c r="S199" s="59">
        <v>260210</v>
      </c>
      <c r="T199" s="59" t="s">
        <v>30</v>
      </c>
      <c r="U199" s="26" t="s">
        <v>101</v>
      </c>
      <c r="V199" s="72" t="s">
        <v>30</v>
      </c>
      <c r="W199" s="75" t="s">
        <v>50</v>
      </c>
      <c r="X199" s="72" t="s">
        <v>33</v>
      </c>
      <c r="Y199" s="51" t="str">
        <f t="shared" si="3"/>
        <v>260210_TPNB500530_0143_AXXXXXXXXX</v>
      </c>
      <c r="Z199" s="51" t="s">
        <v>103</v>
      </c>
      <c r="AA199" s="51" t="s">
        <v>35</v>
      </c>
      <c r="AB199" s="26"/>
      <c r="AC199" s="26"/>
    </row>
    <row r="200" ht="15" customHeight="1" spans="1:29">
      <c r="A200" s="26"/>
      <c r="B200" s="26"/>
      <c r="C200" s="88"/>
      <c r="D200" s="88"/>
      <c r="E200" s="88"/>
      <c r="F200" s="88"/>
      <c r="G200" s="83"/>
      <c r="H200" s="83"/>
      <c r="I200" s="83"/>
      <c r="J200" s="88"/>
      <c r="K200" s="88"/>
      <c r="L200" s="88"/>
      <c r="M200" s="88"/>
      <c r="N200" s="88"/>
      <c r="O200" s="81"/>
      <c r="P200" s="83"/>
      <c r="Q200" s="94"/>
      <c r="R200" s="88"/>
      <c r="S200" s="59">
        <v>260210</v>
      </c>
      <c r="T200" s="59" t="s">
        <v>30</v>
      </c>
      <c r="U200" s="26" t="s">
        <v>104</v>
      </c>
      <c r="V200" s="72" t="s">
        <v>30</v>
      </c>
      <c r="W200" s="45" t="s">
        <v>70</v>
      </c>
      <c r="X200" s="72" t="s">
        <v>33</v>
      </c>
      <c r="Y200" s="51" t="str">
        <f t="shared" si="3"/>
        <v>260210_TPNB500560_0145_AXXXXXXXXX</v>
      </c>
      <c r="Z200" s="51" t="s">
        <v>106</v>
      </c>
      <c r="AA200" s="51" t="s">
        <v>35</v>
      </c>
      <c r="AB200" s="26"/>
      <c r="AC200" s="26"/>
    </row>
    <row r="201" ht="15" customHeight="1" spans="1:29">
      <c r="A201" s="26"/>
      <c r="B201" s="26"/>
      <c r="C201" s="88"/>
      <c r="D201" s="88"/>
      <c r="E201" s="88"/>
      <c r="F201" s="88"/>
      <c r="G201" s="83"/>
      <c r="H201" s="83"/>
      <c r="I201" s="83"/>
      <c r="J201" s="88"/>
      <c r="K201" s="88"/>
      <c r="L201" s="88"/>
      <c r="M201" s="88"/>
      <c r="N201" s="88"/>
      <c r="O201" s="81"/>
      <c r="P201" s="83"/>
      <c r="Q201" s="94"/>
      <c r="R201" s="88"/>
      <c r="S201" s="59">
        <v>260210</v>
      </c>
      <c r="T201" s="59" t="s">
        <v>30</v>
      </c>
      <c r="U201" s="51" t="s">
        <v>31</v>
      </c>
      <c r="V201" s="72" t="s">
        <v>30</v>
      </c>
      <c r="W201" s="102" t="s">
        <v>323</v>
      </c>
      <c r="X201" s="72" t="s">
        <v>33</v>
      </c>
      <c r="Y201" s="51" t="str">
        <f t="shared" si="3"/>
        <v>260210_TPNB500477_0196_AXXXXXXXXX</v>
      </c>
      <c r="Z201" s="51" t="s">
        <v>34</v>
      </c>
      <c r="AA201" s="51" t="s">
        <v>35</v>
      </c>
      <c r="AB201" s="26"/>
      <c r="AC201" s="26"/>
    </row>
    <row r="202" ht="15" customHeight="1" spans="1:29">
      <c r="A202" s="26"/>
      <c r="B202" s="26"/>
      <c r="C202" s="88"/>
      <c r="D202" s="88"/>
      <c r="E202" s="88"/>
      <c r="F202" s="88"/>
      <c r="G202" s="83"/>
      <c r="H202" s="83"/>
      <c r="I202" s="83"/>
      <c r="J202" s="88"/>
      <c r="K202" s="88"/>
      <c r="L202" s="88"/>
      <c r="M202" s="88"/>
      <c r="N202" s="88"/>
      <c r="O202" s="81"/>
      <c r="P202" s="83"/>
      <c r="Q202" s="94"/>
      <c r="R202" s="88"/>
      <c r="S202" s="59">
        <v>260210</v>
      </c>
      <c r="T202" s="59" t="s">
        <v>30</v>
      </c>
      <c r="U202" s="51" t="s">
        <v>85</v>
      </c>
      <c r="V202" s="72" t="s">
        <v>30</v>
      </c>
      <c r="W202" s="74" t="s">
        <v>212</v>
      </c>
      <c r="X202" s="72" t="s">
        <v>33</v>
      </c>
      <c r="Y202" s="51" t="str">
        <f t="shared" si="3"/>
        <v>260210_TPNB500597_0112_AXXXXXXXXX</v>
      </c>
      <c r="Z202" s="51" t="s">
        <v>87</v>
      </c>
      <c r="AA202" s="51" t="s">
        <v>35</v>
      </c>
      <c r="AB202" s="26"/>
      <c r="AC202" s="26"/>
    </row>
    <row r="203" ht="15" customHeight="1" spans="1:29">
      <c r="A203" s="26"/>
      <c r="B203" s="26"/>
      <c r="C203" s="88"/>
      <c r="D203" s="88"/>
      <c r="E203" s="88"/>
      <c r="F203" s="88"/>
      <c r="G203" s="83"/>
      <c r="H203" s="83"/>
      <c r="I203" s="83"/>
      <c r="J203" s="88"/>
      <c r="K203" s="88"/>
      <c r="L203" s="88"/>
      <c r="M203" s="88"/>
      <c r="N203" s="88"/>
      <c r="O203" s="81"/>
      <c r="P203" s="83"/>
      <c r="Q203" s="94"/>
      <c r="R203" s="88"/>
      <c r="S203" s="59">
        <v>260210</v>
      </c>
      <c r="T203" s="59" t="s">
        <v>30</v>
      </c>
      <c r="U203" s="51" t="s">
        <v>88</v>
      </c>
      <c r="V203" s="72" t="s">
        <v>30</v>
      </c>
      <c r="W203" s="40" t="s">
        <v>324</v>
      </c>
      <c r="X203" s="72" t="s">
        <v>33</v>
      </c>
      <c r="Y203" s="51" t="str">
        <f t="shared" si="3"/>
        <v>260210_TPNB500641_0124_AXXXXXXXXX</v>
      </c>
      <c r="Z203" s="51" t="s">
        <v>90</v>
      </c>
      <c r="AA203" s="51" t="s">
        <v>35</v>
      </c>
      <c r="AB203" s="26"/>
      <c r="AC203" s="26"/>
    </row>
    <row r="204" ht="15" customHeight="1" spans="1:29">
      <c r="A204" s="26"/>
      <c r="B204" s="26"/>
      <c r="C204" s="88"/>
      <c r="D204" s="88"/>
      <c r="E204" s="88"/>
      <c r="F204" s="88"/>
      <c r="G204" s="83"/>
      <c r="H204" s="83"/>
      <c r="I204" s="83"/>
      <c r="J204" s="88"/>
      <c r="K204" s="88"/>
      <c r="L204" s="88"/>
      <c r="M204" s="88"/>
      <c r="N204" s="88"/>
      <c r="O204" s="81"/>
      <c r="P204" s="83"/>
      <c r="Q204" s="94"/>
      <c r="R204" s="88"/>
      <c r="S204" s="59">
        <v>260210</v>
      </c>
      <c r="T204" s="59" t="s">
        <v>30</v>
      </c>
      <c r="U204" s="26" t="s">
        <v>98</v>
      </c>
      <c r="V204" s="72" t="s">
        <v>30</v>
      </c>
      <c r="W204" s="102" t="s">
        <v>325</v>
      </c>
      <c r="X204" s="72" t="s">
        <v>33</v>
      </c>
      <c r="Y204" s="51" t="str">
        <f t="shared" si="3"/>
        <v>260210_TPNB500657_0130_AXXXXXXXXX</v>
      </c>
      <c r="Z204" s="51" t="s">
        <v>100</v>
      </c>
      <c r="AA204" s="51" t="s">
        <v>35</v>
      </c>
      <c r="AB204" s="26"/>
      <c r="AC204" s="26"/>
    </row>
    <row r="205" ht="15" customHeight="1" spans="1:29">
      <c r="A205" s="26"/>
      <c r="B205" s="26"/>
      <c r="C205" s="88"/>
      <c r="D205" s="88"/>
      <c r="E205" s="88"/>
      <c r="F205" s="88"/>
      <c r="G205" s="83"/>
      <c r="H205" s="83"/>
      <c r="I205" s="83"/>
      <c r="J205" s="88"/>
      <c r="K205" s="88"/>
      <c r="L205" s="88"/>
      <c r="M205" s="88"/>
      <c r="N205" s="88"/>
      <c r="O205" s="81"/>
      <c r="P205" s="83"/>
      <c r="Q205" s="94"/>
      <c r="R205" s="88"/>
      <c r="S205" s="59">
        <v>260210</v>
      </c>
      <c r="T205" s="59" t="s">
        <v>30</v>
      </c>
      <c r="U205" s="26" t="s">
        <v>101</v>
      </c>
      <c r="V205" s="72" t="s">
        <v>30</v>
      </c>
      <c r="W205" s="75" t="s">
        <v>60</v>
      </c>
      <c r="X205" s="72" t="s">
        <v>33</v>
      </c>
      <c r="Y205" s="51" t="str">
        <f t="shared" si="3"/>
        <v>260210_TPNB500530_0144_AXXXXXXXXX</v>
      </c>
      <c r="Z205" s="51" t="s">
        <v>103</v>
      </c>
      <c r="AA205" s="51" t="s">
        <v>35</v>
      </c>
      <c r="AB205" s="26"/>
      <c r="AC205" s="26"/>
    </row>
    <row r="206" ht="15" customHeight="1" spans="1:29">
      <c r="A206" s="26"/>
      <c r="B206" s="26"/>
      <c r="C206" s="88"/>
      <c r="D206" s="88"/>
      <c r="E206" s="88"/>
      <c r="F206" s="88"/>
      <c r="G206" s="83"/>
      <c r="H206" s="83"/>
      <c r="I206" s="83"/>
      <c r="J206" s="88"/>
      <c r="K206" s="88"/>
      <c r="L206" s="88"/>
      <c r="M206" s="88"/>
      <c r="N206" s="88"/>
      <c r="O206" s="81"/>
      <c r="P206" s="83"/>
      <c r="Q206" s="94"/>
      <c r="R206" s="88"/>
      <c r="S206" s="59">
        <v>260210</v>
      </c>
      <c r="T206" s="59" t="s">
        <v>30</v>
      </c>
      <c r="U206" s="26" t="s">
        <v>104</v>
      </c>
      <c r="V206" s="72" t="s">
        <v>30</v>
      </c>
      <c r="W206" s="45" t="s">
        <v>326</v>
      </c>
      <c r="X206" s="72" t="s">
        <v>33</v>
      </c>
      <c r="Y206" s="51" t="str">
        <f t="shared" si="3"/>
        <v>260210_TPNB500560_0146_AXXXXXXXXX</v>
      </c>
      <c r="Z206" s="51" t="s">
        <v>106</v>
      </c>
      <c r="AA206" s="51" t="s">
        <v>35</v>
      </c>
      <c r="AB206" s="26"/>
      <c r="AC206" s="26"/>
    </row>
    <row r="207" ht="15" customHeight="1" spans="1:29">
      <c r="A207" s="26"/>
      <c r="B207" s="26"/>
      <c r="C207" s="87" t="s">
        <v>311</v>
      </c>
      <c r="D207" s="87" t="s">
        <v>242</v>
      </c>
      <c r="E207" s="87" t="s">
        <v>311</v>
      </c>
      <c r="F207" s="87" t="s">
        <v>242</v>
      </c>
      <c r="G207" s="89" t="s">
        <v>312</v>
      </c>
      <c r="H207" s="89" t="s">
        <v>242</v>
      </c>
      <c r="I207" s="89" t="s">
        <v>327</v>
      </c>
      <c r="J207" s="89" t="s">
        <v>73</v>
      </c>
      <c r="K207" s="89" t="s">
        <v>328</v>
      </c>
      <c r="L207" s="89" t="s">
        <v>315</v>
      </c>
      <c r="M207" s="89" t="s">
        <v>329</v>
      </c>
      <c r="N207" s="89" t="s">
        <v>315</v>
      </c>
      <c r="O207" s="92" t="s">
        <v>330</v>
      </c>
      <c r="P207" s="89" t="s">
        <v>81</v>
      </c>
      <c r="Q207" s="94"/>
      <c r="R207" s="87" t="s">
        <v>331</v>
      </c>
      <c r="S207" s="59">
        <v>260211</v>
      </c>
      <c r="T207" s="59" t="s">
        <v>30</v>
      </c>
      <c r="U207" s="51" t="s">
        <v>31</v>
      </c>
      <c r="V207" s="72" t="s">
        <v>30</v>
      </c>
      <c r="W207" s="102" t="s">
        <v>332</v>
      </c>
      <c r="X207" s="72" t="s">
        <v>33</v>
      </c>
      <c r="Y207" s="51" t="str">
        <f t="shared" si="3"/>
        <v>260211_TPNB500477_0197_AXXXXXXXXX</v>
      </c>
      <c r="Z207" s="51" t="s">
        <v>34</v>
      </c>
      <c r="AA207" s="51" t="s">
        <v>35</v>
      </c>
      <c r="AB207" s="26"/>
      <c r="AC207" s="26"/>
    </row>
    <row r="208" ht="15" customHeight="1" spans="1:29">
      <c r="A208" s="26"/>
      <c r="B208" s="26"/>
      <c r="C208" s="88"/>
      <c r="D208" s="88"/>
      <c r="E208" s="88"/>
      <c r="F208" s="88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94"/>
      <c r="R208" s="88"/>
      <c r="S208" s="59">
        <v>260211</v>
      </c>
      <c r="T208" s="59" t="s">
        <v>30</v>
      </c>
      <c r="U208" s="51" t="s">
        <v>85</v>
      </c>
      <c r="V208" s="72" t="s">
        <v>30</v>
      </c>
      <c r="W208" s="74" t="s">
        <v>223</v>
      </c>
      <c r="X208" s="72" t="s">
        <v>33</v>
      </c>
      <c r="Y208" s="51" t="str">
        <f t="shared" si="3"/>
        <v>260211_TPNB500597_0113_AXXXXXXXXX</v>
      </c>
      <c r="Z208" s="51" t="s">
        <v>87</v>
      </c>
      <c r="AA208" s="51" t="s">
        <v>35</v>
      </c>
      <c r="AB208" s="26"/>
      <c r="AC208" s="26"/>
    </row>
    <row r="209" ht="15" customHeight="1" spans="1:29">
      <c r="A209" s="26"/>
      <c r="B209" s="26"/>
      <c r="C209" s="88"/>
      <c r="D209" s="88"/>
      <c r="E209" s="88"/>
      <c r="F209" s="88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94"/>
      <c r="R209" s="88"/>
      <c r="S209" s="59">
        <v>260211</v>
      </c>
      <c r="T209" s="59" t="s">
        <v>30</v>
      </c>
      <c r="U209" s="51" t="s">
        <v>88</v>
      </c>
      <c r="V209" s="72" t="s">
        <v>30</v>
      </c>
      <c r="W209" s="40" t="s">
        <v>333</v>
      </c>
      <c r="X209" s="72" t="s">
        <v>33</v>
      </c>
      <c r="Y209" s="51" t="str">
        <f t="shared" si="3"/>
        <v>260211_TPNB500641_0125_AXXXXXXXXX</v>
      </c>
      <c r="Z209" s="51" t="s">
        <v>90</v>
      </c>
      <c r="AA209" s="51" t="s">
        <v>35</v>
      </c>
      <c r="AB209" s="26"/>
      <c r="AC209" s="26"/>
    </row>
    <row r="210" ht="15" customHeight="1" spans="1:29">
      <c r="A210" s="26"/>
      <c r="B210" s="26"/>
      <c r="C210" s="88"/>
      <c r="D210" s="88"/>
      <c r="E210" s="88"/>
      <c r="F210" s="88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94"/>
      <c r="R210" s="88"/>
      <c r="S210" s="59">
        <v>260211</v>
      </c>
      <c r="T210" s="59" t="s">
        <v>30</v>
      </c>
      <c r="U210" s="26" t="s">
        <v>98</v>
      </c>
      <c r="V210" s="72" t="s">
        <v>30</v>
      </c>
      <c r="W210" s="102" t="s">
        <v>334</v>
      </c>
      <c r="X210" s="72" t="s">
        <v>33</v>
      </c>
      <c r="Y210" s="51" t="str">
        <f t="shared" si="3"/>
        <v>260211_TPNB500657_0131_AXXXXXXXXX</v>
      </c>
      <c r="Z210" s="51" t="s">
        <v>100</v>
      </c>
      <c r="AA210" s="51" t="s">
        <v>35</v>
      </c>
      <c r="AB210" s="26"/>
      <c r="AC210" s="26"/>
    </row>
    <row r="211" ht="15" customHeight="1" spans="1:29">
      <c r="A211" s="26"/>
      <c r="B211" s="26"/>
      <c r="C211" s="88"/>
      <c r="D211" s="88"/>
      <c r="E211" s="88"/>
      <c r="F211" s="88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94"/>
      <c r="R211" s="88"/>
      <c r="S211" s="59">
        <v>260211</v>
      </c>
      <c r="T211" s="59" t="s">
        <v>30</v>
      </c>
      <c r="U211" s="26" t="s">
        <v>101</v>
      </c>
      <c r="V211" s="72" t="s">
        <v>30</v>
      </c>
      <c r="W211" s="75" t="s">
        <v>70</v>
      </c>
      <c r="X211" s="72" t="s">
        <v>33</v>
      </c>
      <c r="Y211" s="51" t="str">
        <f t="shared" si="3"/>
        <v>260211_TPNB500530_0145_AXXXXXXXXX</v>
      </c>
      <c r="Z211" s="51" t="s">
        <v>103</v>
      </c>
      <c r="AA211" s="51" t="s">
        <v>35</v>
      </c>
      <c r="AB211" s="26"/>
      <c r="AC211" s="26"/>
    </row>
    <row r="212" ht="15" customHeight="1" spans="1:29">
      <c r="A212" s="26"/>
      <c r="B212" s="26"/>
      <c r="C212" s="88"/>
      <c r="D212" s="88"/>
      <c r="E212" s="88"/>
      <c r="F212" s="88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94"/>
      <c r="R212" s="88"/>
      <c r="S212" s="59">
        <v>260211</v>
      </c>
      <c r="T212" s="59" t="s">
        <v>30</v>
      </c>
      <c r="U212" s="26" t="s">
        <v>104</v>
      </c>
      <c r="V212" s="72" t="s">
        <v>30</v>
      </c>
      <c r="W212" s="45" t="s">
        <v>335</v>
      </c>
      <c r="X212" s="72" t="s">
        <v>33</v>
      </c>
      <c r="Y212" s="51" t="str">
        <f t="shared" si="3"/>
        <v>260211_TPNB500560_0147_AXXXXXXXXX</v>
      </c>
      <c r="Z212" s="51" t="s">
        <v>106</v>
      </c>
      <c r="AA212" s="51" t="s">
        <v>35</v>
      </c>
      <c r="AB212" s="26"/>
      <c r="AC212" s="26"/>
    </row>
    <row r="213" ht="15" customHeight="1" spans="1:29">
      <c r="A213" s="26"/>
      <c r="B213" s="26"/>
      <c r="C213" s="88"/>
      <c r="D213" s="88"/>
      <c r="E213" s="88"/>
      <c r="F213" s="88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94"/>
      <c r="R213" s="88"/>
      <c r="S213" s="59">
        <v>260211</v>
      </c>
      <c r="T213" s="59" t="s">
        <v>30</v>
      </c>
      <c r="U213" s="51" t="s">
        <v>31</v>
      </c>
      <c r="V213" s="72" t="s">
        <v>30</v>
      </c>
      <c r="W213" s="102" t="s">
        <v>336</v>
      </c>
      <c r="X213" s="72" t="s">
        <v>33</v>
      </c>
      <c r="Y213" s="51" t="str">
        <f t="shared" si="3"/>
        <v>260211_TPNB500477_0198_AXXXXXXXXX</v>
      </c>
      <c r="Z213" s="51" t="s">
        <v>34</v>
      </c>
      <c r="AA213" s="51" t="s">
        <v>35</v>
      </c>
      <c r="AB213" s="26"/>
      <c r="AC213" s="26"/>
    </row>
    <row r="214" ht="15" customHeight="1" spans="1:29">
      <c r="A214" s="26"/>
      <c r="B214" s="26"/>
      <c r="C214" s="88"/>
      <c r="D214" s="88"/>
      <c r="E214" s="88"/>
      <c r="F214" s="88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94"/>
      <c r="R214" s="88"/>
      <c r="S214" s="59">
        <v>260211</v>
      </c>
      <c r="T214" s="59" t="s">
        <v>30</v>
      </c>
      <c r="U214" s="51" t="s">
        <v>85</v>
      </c>
      <c r="V214" s="72" t="s">
        <v>30</v>
      </c>
      <c r="W214" s="74" t="s">
        <v>222</v>
      </c>
      <c r="X214" s="72" t="s">
        <v>33</v>
      </c>
      <c r="Y214" s="51" t="str">
        <f t="shared" si="3"/>
        <v>260211_TPNB500597_0114_AXXXXXXXXX</v>
      </c>
      <c r="Z214" s="51" t="s">
        <v>87</v>
      </c>
      <c r="AA214" s="51" t="s">
        <v>35</v>
      </c>
      <c r="AB214" s="26"/>
      <c r="AC214" s="26"/>
    </row>
    <row r="215" ht="15" customHeight="1" spans="1:29">
      <c r="A215" s="26"/>
      <c r="B215" s="26"/>
      <c r="C215" s="88"/>
      <c r="D215" s="88"/>
      <c r="E215" s="88"/>
      <c r="F215" s="88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94"/>
      <c r="R215" s="88"/>
      <c r="S215" s="59">
        <v>260211</v>
      </c>
      <c r="T215" s="59" t="s">
        <v>30</v>
      </c>
      <c r="U215" s="51" t="s">
        <v>88</v>
      </c>
      <c r="V215" s="72" t="s">
        <v>30</v>
      </c>
      <c r="W215" s="40" t="s">
        <v>337</v>
      </c>
      <c r="X215" s="72" t="s">
        <v>33</v>
      </c>
      <c r="Y215" s="51" t="str">
        <f t="shared" si="3"/>
        <v>260211_TPNB500641_0126_AXXXXXXXXX</v>
      </c>
      <c r="Z215" s="51" t="s">
        <v>90</v>
      </c>
      <c r="AA215" s="51" t="s">
        <v>35</v>
      </c>
      <c r="AB215" s="26"/>
      <c r="AC215" s="26"/>
    </row>
    <row r="216" ht="15" customHeight="1" spans="1:29">
      <c r="A216" s="26"/>
      <c r="B216" s="26"/>
      <c r="C216" s="88"/>
      <c r="D216" s="88"/>
      <c r="E216" s="88"/>
      <c r="F216" s="88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94"/>
      <c r="R216" s="88"/>
      <c r="S216" s="59">
        <v>260211</v>
      </c>
      <c r="T216" s="59" t="s">
        <v>30</v>
      </c>
      <c r="U216" s="26" t="s">
        <v>98</v>
      </c>
      <c r="V216" s="72" t="s">
        <v>30</v>
      </c>
      <c r="W216" s="102" t="s">
        <v>338</v>
      </c>
      <c r="X216" s="72" t="s">
        <v>33</v>
      </c>
      <c r="Y216" s="51" t="str">
        <f t="shared" si="3"/>
        <v>260211_TPNB500657_0132_AXXXXXXXXX</v>
      </c>
      <c r="Z216" s="51" t="s">
        <v>100</v>
      </c>
      <c r="AA216" s="51" t="s">
        <v>35</v>
      </c>
      <c r="AB216" s="26"/>
      <c r="AC216" s="26"/>
    </row>
    <row r="217" ht="15" customHeight="1" spans="1:29">
      <c r="A217" s="26"/>
      <c r="B217" s="26"/>
      <c r="C217" s="88"/>
      <c r="D217" s="88"/>
      <c r="E217" s="88"/>
      <c r="F217" s="88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94"/>
      <c r="R217" s="88"/>
      <c r="S217" s="59">
        <v>260211</v>
      </c>
      <c r="T217" s="59" t="s">
        <v>30</v>
      </c>
      <c r="U217" s="26" t="s">
        <v>101</v>
      </c>
      <c r="V217" s="72" t="s">
        <v>30</v>
      </c>
      <c r="W217" s="75" t="s">
        <v>326</v>
      </c>
      <c r="X217" s="72" t="s">
        <v>33</v>
      </c>
      <c r="Y217" s="51" t="str">
        <f t="shared" si="3"/>
        <v>260211_TPNB500530_0146_AXXXXXXXXX</v>
      </c>
      <c r="Z217" s="51" t="s">
        <v>103</v>
      </c>
      <c r="AA217" s="51" t="s">
        <v>35</v>
      </c>
      <c r="AB217" s="26"/>
      <c r="AC217" s="26"/>
    </row>
    <row r="218" ht="15" customHeight="1" spans="1:29">
      <c r="A218" s="26"/>
      <c r="B218" s="26"/>
      <c r="C218" s="88"/>
      <c r="D218" s="88"/>
      <c r="E218" s="88"/>
      <c r="F218" s="88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94"/>
      <c r="R218" s="88"/>
      <c r="S218" s="59">
        <v>260211</v>
      </c>
      <c r="T218" s="59" t="s">
        <v>30</v>
      </c>
      <c r="U218" s="26" t="s">
        <v>104</v>
      </c>
      <c r="V218" s="72" t="s">
        <v>30</v>
      </c>
      <c r="W218" s="45" t="s">
        <v>339</v>
      </c>
      <c r="X218" s="72" t="s">
        <v>33</v>
      </c>
      <c r="Y218" s="51" t="str">
        <f t="shared" si="3"/>
        <v>260211_TPNB500560_0148_AXXXXXXXXX</v>
      </c>
      <c r="Z218" s="51" t="s">
        <v>106</v>
      </c>
      <c r="AA218" s="51" t="s">
        <v>35</v>
      </c>
      <c r="AB218" s="26"/>
      <c r="AC218" s="26"/>
    </row>
    <row r="219" ht="15" customHeight="1" spans="1:29">
      <c r="A219" s="26"/>
      <c r="B219" s="26"/>
      <c r="C219" s="87" t="s">
        <v>311</v>
      </c>
      <c r="D219" s="87" t="s">
        <v>242</v>
      </c>
      <c r="E219" s="87" t="s">
        <v>311</v>
      </c>
      <c r="F219" s="87" t="s">
        <v>242</v>
      </c>
      <c r="G219" s="89" t="s">
        <v>312</v>
      </c>
      <c r="H219" s="89" t="s">
        <v>242</v>
      </c>
      <c r="I219" s="89" t="s">
        <v>340</v>
      </c>
      <c r="J219" s="89" t="s">
        <v>73</v>
      </c>
      <c r="K219" s="89" t="s">
        <v>341</v>
      </c>
      <c r="L219" s="89" t="s">
        <v>315</v>
      </c>
      <c r="M219" s="89" t="s">
        <v>342</v>
      </c>
      <c r="N219" s="89" t="s">
        <v>315</v>
      </c>
      <c r="O219" s="92" t="s">
        <v>343</v>
      </c>
      <c r="P219" s="89" t="s">
        <v>81</v>
      </c>
      <c r="Q219" s="94"/>
      <c r="R219" s="87" t="s">
        <v>344</v>
      </c>
      <c r="S219" s="59">
        <v>260212</v>
      </c>
      <c r="T219" s="59" t="s">
        <v>30</v>
      </c>
      <c r="U219" s="51" t="s">
        <v>31</v>
      </c>
      <c r="V219" s="72" t="s">
        <v>30</v>
      </c>
      <c r="W219" s="102" t="s">
        <v>345</v>
      </c>
      <c r="X219" s="72" t="s">
        <v>33</v>
      </c>
      <c r="Y219" s="51" t="str">
        <f t="shared" si="3"/>
        <v>260212_TPNB500477_0199_AXXXXXXXXX</v>
      </c>
      <c r="Z219" s="51" t="s">
        <v>34</v>
      </c>
      <c r="AA219" s="51" t="s">
        <v>35</v>
      </c>
      <c r="AB219" s="26"/>
      <c r="AC219" s="26"/>
    </row>
    <row r="220" ht="15" customHeight="1" spans="1:29">
      <c r="A220" s="26"/>
      <c r="B220" s="26"/>
      <c r="C220" s="88"/>
      <c r="D220" s="88"/>
      <c r="E220" s="88"/>
      <c r="F220" s="88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94"/>
      <c r="R220" s="88"/>
      <c r="S220" s="59">
        <v>260212</v>
      </c>
      <c r="T220" s="59" t="s">
        <v>30</v>
      </c>
      <c r="U220" s="51" t="s">
        <v>85</v>
      </c>
      <c r="V220" s="72" t="s">
        <v>30</v>
      </c>
      <c r="W220" s="74" t="s">
        <v>233</v>
      </c>
      <c r="X220" s="72" t="s">
        <v>33</v>
      </c>
      <c r="Y220" s="51" t="str">
        <f t="shared" si="3"/>
        <v>260212_TPNB500597_0115_AXXXXXXXXX</v>
      </c>
      <c r="Z220" s="51" t="s">
        <v>87</v>
      </c>
      <c r="AA220" s="51" t="s">
        <v>35</v>
      </c>
      <c r="AB220" s="26"/>
      <c r="AC220" s="26"/>
    </row>
    <row r="221" ht="15" customHeight="1" spans="1:29">
      <c r="A221" s="26"/>
      <c r="B221" s="26"/>
      <c r="C221" s="88"/>
      <c r="D221" s="88"/>
      <c r="E221" s="88"/>
      <c r="F221" s="88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94"/>
      <c r="R221" s="88"/>
      <c r="S221" s="59">
        <v>260212</v>
      </c>
      <c r="T221" s="59" t="s">
        <v>30</v>
      </c>
      <c r="U221" s="51" t="s">
        <v>88</v>
      </c>
      <c r="V221" s="72" t="s">
        <v>30</v>
      </c>
      <c r="W221" s="40" t="s">
        <v>346</v>
      </c>
      <c r="X221" s="72" t="s">
        <v>33</v>
      </c>
      <c r="Y221" s="51" t="str">
        <f t="shared" si="3"/>
        <v>260212_TPNB500641_0127_AXXXXXXXXX</v>
      </c>
      <c r="Z221" s="51" t="s">
        <v>90</v>
      </c>
      <c r="AA221" s="51" t="s">
        <v>35</v>
      </c>
      <c r="AB221" s="26"/>
      <c r="AC221" s="26"/>
    </row>
    <row r="222" ht="28" spans="1:29">
      <c r="A222" s="26"/>
      <c r="B222" s="26"/>
      <c r="C222" s="88"/>
      <c r="D222" s="88"/>
      <c r="E222" s="88"/>
      <c r="F222" s="88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94"/>
      <c r="R222" s="88"/>
      <c r="S222" s="59">
        <v>260212</v>
      </c>
      <c r="T222" s="59" t="s">
        <v>30</v>
      </c>
      <c r="U222" s="26" t="s">
        <v>98</v>
      </c>
      <c r="V222" s="72" t="s">
        <v>30</v>
      </c>
      <c r="W222" s="102" t="s">
        <v>347</v>
      </c>
      <c r="X222" s="72" t="s">
        <v>33</v>
      </c>
      <c r="Y222" s="51" t="str">
        <f t="shared" si="3"/>
        <v>260212_TPNB500657_0133_AXXXXXXXXX</v>
      </c>
      <c r="Z222" s="51" t="s">
        <v>100</v>
      </c>
      <c r="AA222" s="51" t="s">
        <v>35</v>
      </c>
      <c r="AB222" s="26"/>
      <c r="AC222" s="26"/>
    </row>
    <row r="223" ht="28" spans="1:29">
      <c r="A223" s="26"/>
      <c r="B223" s="26"/>
      <c r="C223" s="88"/>
      <c r="D223" s="88"/>
      <c r="E223" s="88"/>
      <c r="F223" s="88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94"/>
      <c r="R223" s="88"/>
      <c r="S223" s="59">
        <v>260212</v>
      </c>
      <c r="T223" s="59" t="s">
        <v>30</v>
      </c>
      <c r="U223" s="26" t="s">
        <v>101</v>
      </c>
      <c r="V223" s="72" t="s">
        <v>30</v>
      </c>
      <c r="W223" s="75" t="s">
        <v>335</v>
      </c>
      <c r="X223" s="72" t="s">
        <v>33</v>
      </c>
      <c r="Y223" s="51" t="str">
        <f t="shared" si="3"/>
        <v>260212_TPNB500530_0147_AXXXXXXXXX</v>
      </c>
      <c r="Z223" s="51" t="s">
        <v>103</v>
      </c>
      <c r="AA223" s="51" t="s">
        <v>35</v>
      </c>
      <c r="AB223" s="26"/>
      <c r="AC223" s="26"/>
    </row>
    <row r="224" ht="28" spans="1:29">
      <c r="A224" s="26"/>
      <c r="B224" s="26"/>
      <c r="C224" s="88"/>
      <c r="D224" s="88"/>
      <c r="E224" s="88"/>
      <c r="F224" s="88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94"/>
      <c r="R224" s="88"/>
      <c r="S224" s="59">
        <v>260212</v>
      </c>
      <c r="T224" s="59" t="s">
        <v>30</v>
      </c>
      <c r="U224" s="26" t="s">
        <v>104</v>
      </c>
      <c r="V224" s="72" t="s">
        <v>30</v>
      </c>
      <c r="W224" s="45" t="s">
        <v>348</v>
      </c>
      <c r="X224" s="72" t="s">
        <v>33</v>
      </c>
      <c r="Y224" s="51" t="str">
        <f t="shared" si="3"/>
        <v>260212_TPNB500560_0149_AXXXXXXXXX</v>
      </c>
      <c r="Z224" s="51" t="s">
        <v>106</v>
      </c>
      <c r="AA224" s="51" t="s">
        <v>35</v>
      </c>
      <c r="AB224" s="26"/>
      <c r="AC224" s="26"/>
    </row>
    <row r="225" ht="28" spans="1:29">
      <c r="A225" s="26"/>
      <c r="B225" s="26"/>
      <c r="C225" s="88"/>
      <c r="D225" s="88"/>
      <c r="E225" s="88"/>
      <c r="F225" s="88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94"/>
      <c r="R225" s="88"/>
      <c r="S225" s="59">
        <v>260212</v>
      </c>
      <c r="T225" s="59" t="s">
        <v>30</v>
      </c>
      <c r="U225" s="51" t="s">
        <v>31</v>
      </c>
      <c r="V225" s="72" t="s">
        <v>30</v>
      </c>
      <c r="W225" s="102" t="s">
        <v>349</v>
      </c>
      <c r="X225" s="72" t="s">
        <v>33</v>
      </c>
      <c r="Y225" s="51" t="str">
        <f t="shared" si="3"/>
        <v>260212_TPNB500477_0200_AXXXXXXXXX</v>
      </c>
      <c r="Z225" s="51" t="s">
        <v>34</v>
      </c>
      <c r="AA225" s="51" t="s">
        <v>35</v>
      </c>
      <c r="AB225" s="26"/>
      <c r="AC225" s="26"/>
    </row>
    <row r="226" ht="28" spans="1:29">
      <c r="A226" s="26"/>
      <c r="B226" s="26"/>
      <c r="C226" s="88"/>
      <c r="D226" s="88"/>
      <c r="E226" s="88"/>
      <c r="F226" s="88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94"/>
      <c r="R226" s="88"/>
      <c r="S226" s="59">
        <v>260212</v>
      </c>
      <c r="T226" s="59" t="s">
        <v>30</v>
      </c>
      <c r="U226" s="51" t="s">
        <v>85</v>
      </c>
      <c r="V226" s="72" t="s">
        <v>30</v>
      </c>
      <c r="W226" s="74" t="s">
        <v>232</v>
      </c>
      <c r="X226" s="72" t="s">
        <v>33</v>
      </c>
      <c r="Y226" s="51" t="str">
        <f t="shared" si="3"/>
        <v>260212_TPNB500597_0116_AXXXXXXXXX</v>
      </c>
      <c r="Z226" s="51" t="s">
        <v>87</v>
      </c>
      <c r="AA226" s="51" t="s">
        <v>35</v>
      </c>
      <c r="AB226" s="26"/>
      <c r="AC226" s="26"/>
    </row>
    <row r="227" ht="28" spans="1:29">
      <c r="A227" s="26"/>
      <c r="B227" s="26"/>
      <c r="C227" s="88"/>
      <c r="D227" s="88"/>
      <c r="E227" s="88"/>
      <c r="F227" s="88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94"/>
      <c r="R227" s="88"/>
      <c r="S227" s="59">
        <v>260212</v>
      </c>
      <c r="T227" s="59" t="s">
        <v>30</v>
      </c>
      <c r="U227" s="51" t="s">
        <v>88</v>
      </c>
      <c r="V227" s="72" t="s">
        <v>30</v>
      </c>
      <c r="W227" s="40" t="s">
        <v>350</v>
      </c>
      <c r="X227" s="72" t="s">
        <v>33</v>
      </c>
      <c r="Y227" s="51" t="str">
        <f t="shared" si="3"/>
        <v>260212_TPNB500641_0128_AXXXXXXXXX</v>
      </c>
      <c r="Z227" s="51" t="s">
        <v>90</v>
      </c>
      <c r="AA227" s="51" t="s">
        <v>35</v>
      </c>
      <c r="AB227" s="26"/>
      <c r="AC227" s="26"/>
    </row>
    <row r="228" ht="28" spans="1:29">
      <c r="A228" s="26"/>
      <c r="B228" s="26"/>
      <c r="C228" s="88"/>
      <c r="D228" s="88"/>
      <c r="E228" s="88"/>
      <c r="F228" s="88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94"/>
      <c r="R228" s="88"/>
      <c r="S228" s="59">
        <v>260212</v>
      </c>
      <c r="T228" s="59" t="s">
        <v>30</v>
      </c>
      <c r="U228" s="26" t="s">
        <v>98</v>
      </c>
      <c r="V228" s="72" t="s">
        <v>30</v>
      </c>
      <c r="W228" s="102" t="s">
        <v>351</v>
      </c>
      <c r="X228" s="72" t="s">
        <v>33</v>
      </c>
      <c r="Y228" s="51" t="str">
        <f t="shared" si="3"/>
        <v>260212_TPNB500657_0134_AXXXXXXXXX</v>
      </c>
      <c r="Z228" s="51" t="s">
        <v>100</v>
      </c>
      <c r="AA228" s="51" t="s">
        <v>35</v>
      </c>
      <c r="AB228" s="26"/>
      <c r="AC228" s="26"/>
    </row>
    <row r="229" ht="28" spans="1:29">
      <c r="A229" s="26"/>
      <c r="B229" s="26"/>
      <c r="C229" s="88"/>
      <c r="D229" s="88"/>
      <c r="E229" s="88"/>
      <c r="F229" s="88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94"/>
      <c r="R229" s="88"/>
      <c r="S229" s="59">
        <v>260212</v>
      </c>
      <c r="T229" s="59" t="s">
        <v>30</v>
      </c>
      <c r="U229" s="26" t="s">
        <v>101</v>
      </c>
      <c r="V229" s="72" t="s">
        <v>30</v>
      </c>
      <c r="W229" s="75" t="s">
        <v>339</v>
      </c>
      <c r="X229" s="72" t="s">
        <v>33</v>
      </c>
      <c r="Y229" s="51" t="str">
        <f t="shared" si="3"/>
        <v>260212_TPNB500530_0148_AXXXXXXXXX</v>
      </c>
      <c r="Z229" s="51" t="s">
        <v>103</v>
      </c>
      <c r="AA229" s="51" t="s">
        <v>35</v>
      </c>
      <c r="AB229" s="26"/>
      <c r="AC229" s="26"/>
    </row>
    <row r="230" ht="28" spans="1:29">
      <c r="A230" s="26"/>
      <c r="B230" s="26"/>
      <c r="C230" s="88"/>
      <c r="D230" s="88"/>
      <c r="E230" s="88"/>
      <c r="F230" s="88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94"/>
      <c r="R230" s="88"/>
      <c r="S230" s="59">
        <v>260212</v>
      </c>
      <c r="T230" s="59" t="s">
        <v>30</v>
      </c>
      <c r="U230" s="26" t="s">
        <v>104</v>
      </c>
      <c r="V230" s="72" t="s">
        <v>30</v>
      </c>
      <c r="W230" s="45" t="s">
        <v>352</v>
      </c>
      <c r="X230" s="72" t="s">
        <v>33</v>
      </c>
      <c r="Y230" s="51" t="str">
        <f t="shared" si="3"/>
        <v>260212_TPNB500560_0150_AXXXXXXXXX</v>
      </c>
      <c r="Z230" s="51" t="s">
        <v>106</v>
      </c>
      <c r="AA230" s="51" t="s">
        <v>35</v>
      </c>
      <c r="AB230" s="26"/>
      <c r="AC230" s="26"/>
    </row>
    <row r="231" ht="28" spans="1:29">
      <c r="A231" s="26"/>
      <c r="B231" s="26"/>
      <c r="C231" s="87" t="s">
        <v>311</v>
      </c>
      <c r="D231" s="87" t="s">
        <v>242</v>
      </c>
      <c r="E231" s="87" t="s">
        <v>311</v>
      </c>
      <c r="F231" s="87" t="s">
        <v>242</v>
      </c>
      <c r="G231" s="89" t="s">
        <v>312</v>
      </c>
      <c r="H231" s="89" t="s">
        <v>242</v>
      </c>
      <c r="I231" s="89" t="s">
        <v>353</v>
      </c>
      <c r="J231" s="89" t="s">
        <v>73</v>
      </c>
      <c r="K231" s="89" t="s">
        <v>354</v>
      </c>
      <c r="L231" s="89" t="s">
        <v>315</v>
      </c>
      <c r="M231" s="89" t="s">
        <v>355</v>
      </c>
      <c r="N231" s="89" t="s">
        <v>315</v>
      </c>
      <c r="O231" s="92" t="s">
        <v>356</v>
      </c>
      <c r="P231" s="89" t="s">
        <v>81</v>
      </c>
      <c r="Q231" s="94"/>
      <c r="R231" s="87" t="s">
        <v>357</v>
      </c>
      <c r="S231" s="59">
        <v>260213</v>
      </c>
      <c r="T231" s="59" t="s">
        <v>30</v>
      </c>
      <c r="U231" s="51" t="s">
        <v>31</v>
      </c>
      <c r="V231" s="72" t="s">
        <v>30</v>
      </c>
      <c r="W231" s="102" t="s">
        <v>358</v>
      </c>
      <c r="X231" s="72" t="s">
        <v>33</v>
      </c>
      <c r="Y231" s="51" t="str">
        <f t="shared" si="3"/>
        <v>260213_TPNB500477_0201_AXXXXXXXXX</v>
      </c>
      <c r="Z231" s="51" t="s">
        <v>34</v>
      </c>
      <c r="AA231" s="51" t="s">
        <v>35</v>
      </c>
      <c r="AB231" s="26"/>
      <c r="AC231" s="26"/>
    </row>
    <row r="232" ht="28" spans="1:29">
      <c r="A232" s="26"/>
      <c r="B232" s="26"/>
      <c r="C232" s="88"/>
      <c r="D232" s="88"/>
      <c r="E232" s="88"/>
      <c r="F232" s="88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94"/>
      <c r="R232" s="88"/>
      <c r="S232" s="59">
        <v>260213</v>
      </c>
      <c r="T232" s="59" t="s">
        <v>30</v>
      </c>
      <c r="U232" s="51" t="s">
        <v>85</v>
      </c>
      <c r="V232" s="72" t="s">
        <v>30</v>
      </c>
      <c r="W232" s="74" t="s">
        <v>260</v>
      </c>
      <c r="X232" s="72" t="s">
        <v>33</v>
      </c>
      <c r="Y232" s="51" t="str">
        <f t="shared" si="3"/>
        <v>260213_TPNB500597_0117_AXXXXXXXXX</v>
      </c>
      <c r="Z232" s="51" t="s">
        <v>87</v>
      </c>
      <c r="AA232" s="51" t="s">
        <v>35</v>
      </c>
      <c r="AB232" s="26"/>
      <c r="AC232" s="26"/>
    </row>
    <row r="233" ht="28" spans="1:29">
      <c r="A233" s="26"/>
      <c r="B233" s="26"/>
      <c r="C233" s="88"/>
      <c r="D233" s="88"/>
      <c r="E233" s="88"/>
      <c r="F233" s="88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94"/>
      <c r="R233" s="88"/>
      <c r="S233" s="59">
        <v>260213</v>
      </c>
      <c r="T233" s="59" t="s">
        <v>30</v>
      </c>
      <c r="U233" s="51" t="s">
        <v>88</v>
      </c>
      <c r="V233" s="72" t="s">
        <v>30</v>
      </c>
      <c r="W233" s="40" t="s">
        <v>322</v>
      </c>
      <c r="X233" s="72" t="s">
        <v>33</v>
      </c>
      <c r="Y233" s="51" t="str">
        <f t="shared" si="3"/>
        <v>260213_TPNB500641_0129_AXXXXXXXXX</v>
      </c>
      <c r="Z233" s="51" t="s">
        <v>90</v>
      </c>
      <c r="AA233" s="51" t="s">
        <v>35</v>
      </c>
      <c r="AB233" s="26"/>
      <c r="AC233" s="26"/>
    </row>
    <row r="234" ht="28" spans="1:29">
      <c r="A234" s="26"/>
      <c r="B234" s="26"/>
      <c r="C234" s="88"/>
      <c r="D234" s="88"/>
      <c r="E234" s="88"/>
      <c r="F234" s="88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94"/>
      <c r="R234" s="88"/>
      <c r="S234" s="59">
        <v>260213</v>
      </c>
      <c r="T234" s="59" t="s">
        <v>30</v>
      </c>
      <c r="U234" s="26" t="s">
        <v>98</v>
      </c>
      <c r="V234" s="72" t="s">
        <v>30</v>
      </c>
      <c r="W234" s="102" t="s">
        <v>359</v>
      </c>
      <c r="X234" s="72" t="s">
        <v>33</v>
      </c>
      <c r="Y234" s="51" t="str">
        <f t="shared" si="3"/>
        <v>260213_TPNB500657_0135_AXXXXXXXXX</v>
      </c>
      <c r="Z234" s="51" t="s">
        <v>100</v>
      </c>
      <c r="AA234" s="51" t="s">
        <v>35</v>
      </c>
      <c r="AB234" s="26"/>
      <c r="AC234" s="26"/>
    </row>
    <row r="235" ht="28" spans="1:29">
      <c r="A235" s="26"/>
      <c r="B235" s="26"/>
      <c r="C235" s="88"/>
      <c r="D235" s="88"/>
      <c r="E235" s="88"/>
      <c r="F235" s="88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94"/>
      <c r="R235" s="88"/>
      <c r="S235" s="59">
        <v>260213</v>
      </c>
      <c r="T235" s="59" t="s">
        <v>30</v>
      </c>
      <c r="U235" s="26" t="s">
        <v>101</v>
      </c>
      <c r="V235" s="72" t="s">
        <v>30</v>
      </c>
      <c r="W235" s="75" t="s">
        <v>348</v>
      </c>
      <c r="X235" s="72" t="s">
        <v>33</v>
      </c>
      <c r="Y235" s="51" t="str">
        <f t="shared" si="3"/>
        <v>260213_TPNB500530_0149_AXXXXXXXXX</v>
      </c>
      <c r="Z235" s="51" t="s">
        <v>103</v>
      </c>
      <c r="AA235" s="51" t="s">
        <v>35</v>
      </c>
      <c r="AB235" s="26"/>
      <c r="AC235" s="26"/>
    </row>
    <row r="236" ht="28" spans="1:29">
      <c r="A236" s="26"/>
      <c r="B236" s="26"/>
      <c r="C236" s="88"/>
      <c r="D236" s="88"/>
      <c r="E236" s="88"/>
      <c r="F236" s="88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94"/>
      <c r="R236" s="88"/>
      <c r="S236" s="59">
        <v>260213</v>
      </c>
      <c r="T236" s="59" t="s">
        <v>30</v>
      </c>
      <c r="U236" s="26" t="s">
        <v>104</v>
      </c>
      <c r="V236" s="72" t="s">
        <v>30</v>
      </c>
      <c r="W236" s="45" t="s">
        <v>360</v>
      </c>
      <c r="X236" s="72" t="s">
        <v>33</v>
      </c>
      <c r="Y236" s="51" t="str">
        <f t="shared" si="3"/>
        <v>260213_TPNB500560_0151_AXXXXXXXXX</v>
      </c>
      <c r="Z236" s="51" t="s">
        <v>106</v>
      </c>
      <c r="AA236" s="51" t="s">
        <v>35</v>
      </c>
      <c r="AB236" s="26"/>
      <c r="AC236" s="26"/>
    </row>
    <row r="237" ht="28" spans="1:29">
      <c r="A237" s="26"/>
      <c r="B237" s="26"/>
      <c r="C237" s="88"/>
      <c r="D237" s="88"/>
      <c r="E237" s="88"/>
      <c r="F237" s="88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94"/>
      <c r="R237" s="88"/>
      <c r="S237" s="59">
        <v>260213</v>
      </c>
      <c r="T237" s="59" t="s">
        <v>30</v>
      </c>
      <c r="U237" s="51" t="s">
        <v>31</v>
      </c>
      <c r="V237" s="72" t="s">
        <v>30</v>
      </c>
      <c r="W237" s="102" t="s">
        <v>361</v>
      </c>
      <c r="X237" s="72" t="s">
        <v>33</v>
      </c>
      <c r="Y237" s="51" t="str">
        <f t="shared" si="3"/>
        <v>260213_TPNB500477_0202_AXXXXXXXXX</v>
      </c>
      <c r="Z237" s="51" t="s">
        <v>34</v>
      </c>
      <c r="AA237" s="51" t="s">
        <v>35</v>
      </c>
      <c r="AB237" s="26"/>
      <c r="AC237" s="26"/>
    </row>
    <row r="238" ht="28" spans="1:29">
      <c r="A238" s="26"/>
      <c r="B238" s="26"/>
      <c r="C238" s="88"/>
      <c r="D238" s="88"/>
      <c r="E238" s="88"/>
      <c r="F238" s="88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94"/>
      <c r="R238" s="88"/>
      <c r="S238" s="59">
        <v>260213</v>
      </c>
      <c r="T238" s="59" t="s">
        <v>30</v>
      </c>
      <c r="U238" s="51" t="s">
        <v>85</v>
      </c>
      <c r="V238" s="72" t="s">
        <v>30</v>
      </c>
      <c r="W238" s="74" t="s">
        <v>259</v>
      </c>
      <c r="X238" s="72" t="s">
        <v>33</v>
      </c>
      <c r="Y238" s="51" t="str">
        <f t="shared" si="3"/>
        <v>260213_TPNB500597_0118_AXXXXXXXXX</v>
      </c>
      <c r="Z238" s="51" t="s">
        <v>87</v>
      </c>
      <c r="AA238" s="51" t="s">
        <v>35</v>
      </c>
      <c r="AB238" s="26"/>
      <c r="AC238" s="26"/>
    </row>
    <row r="239" ht="28" spans="1:29">
      <c r="A239" s="26"/>
      <c r="B239" s="26"/>
      <c r="C239" s="88"/>
      <c r="D239" s="88"/>
      <c r="E239" s="88"/>
      <c r="F239" s="88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94"/>
      <c r="R239" s="88"/>
      <c r="S239" s="59">
        <v>260213</v>
      </c>
      <c r="T239" s="59" t="s">
        <v>30</v>
      </c>
      <c r="U239" s="51" t="s">
        <v>88</v>
      </c>
      <c r="V239" s="72" t="s">
        <v>30</v>
      </c>
      <c r="W239" s="40" t="s">
        <v>325</v>
      </c>
      <c r="X239" s="72" t="s">
        <v>33</v>
      </c>
      <c r="Y239" s="51" t="str">
        <f t="shared" si="3"/>
        <v>260213_TPNB500641_0130_AXXXXXXXXX</v>
      </c>
      <c r="Z239" s="51" t="s">
        <v>90</v>
      </c>
      <c r="AA239" s="51" t="s">
        <v>35</v>
      </c>
      <c r="AB239" s="26"/>
      <c r="AC239" s="26"/>
    </row>
    <row r="240" ht="28" spans="1:29">
      <c r="A240" s="26"/>
      <c r="B240" s="26"/>
      <c r="C240" s="88"/>
      <c r="D240" s="88"/>
      <c r="E240" s="88"/>
      <c r="F240" s="88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94"/>
      <c r="R240" s="88"/>
      <c r="S240" s="59">
        <v>260213</v>
      </c>
      <c r="T240" s="59" t="s">
        <v>30</v>
      </c>
      <c r="U240" s="26" t="s">
        <v>98</v>
      </c>
      <c r="V240" s="72" t="s">
        <v>30</v>
      </c>
      <c r="W240" s="102" t="s">
        <v>362</v>
      </c>
      <c r="X240" s="72" t="s">
        <v>33</v>
      </c>
      <c r="Y240" s="51" t="str">
        <f t="shared" si="3"/>
        <v>260213_TPNB500657_0136_AXXXXXXXXX</v>
      </c>
      <c r="Z240" s="51" t="s">
        <v>100</v>
      </c>
      <c r="AA240" s="51" t="s">
        <v>35</v>
      </c>
      <c r="AB240" s="26"/>
      <c r="AC240" s="26"/>
    </row>
    <row r="241" ht="28" spans="1:29">
      <c r="A241" s="26"/>
      <c r="B241" s="26"/>
      <c r="C241" s="88"/>
      <c r="D241" s="88"/>
      <c r="E241" s="88"/>
      <c r="F241" s="88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94"/>
      <c r="R241" s="88"/>
      <c r="S241" s="59">
        <v>260213</v>
      </c>
      <c r="T241" s="59" t="s">
        <v>30</v>
      </c>
      <c r="U241" s="26" t="s">
        <v>101</v>
      </c>
      <c r="V241" s="72" t="s">
        <v>30</v>
      </c>
      <c r="W241" s="75" t="s">
        <v>352</v>
      </c>
      <c r="X241" s="72" t="s">
        <v>33</v>
      </c>
      <c r="Y241" s="51" t="str">
        <f t="shared" si="3"/>
        <v>260213_TPNB500530_0150_AXXXXXXXXX</v>
      </c>
      <c r="Z241" s="51" t="s">
        <v>103</v>
      </c>
      <c r="AA241" s="51" t="s">
        <v>35</v>
      </c>
      <c r="AB241" s="26"/>
      <c r="AC241" s="26"/>
    </row>
    <row r="242" ht="28" spans="1:29">
      <c r="A242" s="26"/>
      <c r="B242" s="26"/>
      <c r="C242" s="88"/>
      <c r="D242" s="88"/>
      <c r="E242" s="88"/>
      <c r="F242" s="88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95"/>
      <c r="R242" s="88"/>
      <c r="S242" s="59">
        <v>260213</v>
      </c>
      <c r="T242" s="59" t="s">
        <v>30</v>
      </c>
      <c r="U242" s="26" t="s">
        <v>104</v>
      </c>
      <c r="V242" s="72" t="s">
        <v>30</v>
      </c>
      <c r="W242" s="45" t="s">
        <v>363</v>
      </c>
      <c r="X242" s="72" t="s">
        <v>33</v>
      </c>
      <c r="Y242" s="51" t="str">
        <f t="shared" si="3"/>
        <v>260213_TPNB500560_0152_AXXXXXXXXX</v>
      </c>
      <c r="Z242" s="51" t="s">
        <v>106</v>
      </c>
      <c r="AA242" s="51" t="s">
        <v>35</v>
      </c>
      <c r="AB242" s="26"/>
      <c r="AC242" s="26"/>
    </row>
    <row r="243" ht="28" spans="1:29">
      <c r="A243" s="26"/>
      <c r="B243" s="26"/>
      <c r="C243" s="59" t="s">
        <v>364</v>
      </c>
      <c r="D243" s="59" t="s">
        <v>242</v>
      </c>
      <c r="E243" s="59" t="s">
        <v>364</v>
      </c>
      <c r="F243" s="59" t="s">
        <v>242</v>
      </c>
      <c r="G243" s="59" t="s">
        <v>365</v>
      </c>
      <c r="H243" s="59" t="s">
        <v>242</v>
      </c>
      <c r="I243" s="59" t="s">
        <v>366</v>
      </c>
      <c r="J243" s="59" t="s">
        <v>73</v>
      </c>
      <c r="K243" s="59" t="s">
        <v>367</v>
      </c>
      <c r="L243" s="59" t="s">
        <v>77</v>
      </c>
      <c r="M243" s="59" t="s">
        <v>368</v>
      </c>
      <c r="N243" s="59" t="s">
        <v>77</v>
      </c>
      <c r="O243" s="69" t="s">
        <v>369</v>
      </c>
      <c r="P243" s="59" t="s">
        <v>81</v>
      </c>
      <c r="Q243" s="69" t="s">
        <v>370</v>
      </c>
      <c r="R243" s="59" t="s">
        <v>371</v>
      </c>
      <c r="S243" s="59">
        <v>260226</v>
      </c>
      <c r="T243" s="59" t="s">
        <v>30</v>
      </c>
      <c r="U243" s="51" t="s">
        <v>31</v>
      </c>
      <c r="V243" s="72" t="s">
        <v>30</v>
      </c>
      <c r="W243" s="102" t="s">
        <v>372</v>
      </c>
      <c r="X243" s="72" t="s">
        <v>33</v>
      </c>
      <c r="Y243" s="51" t="str">
        <f t="shared" si="3"/>
        <v>260226_TPNB500477_0216_AXXXXXXXXX</v>
      </c>
      <c r="Z243" s="51" t="s">
        <v>34</v>
      </c>
      <c r="AA243" s="51" t="s">
        <v>35</v>
      </c>
      <c r="AB243" s="26"/>
      <c r="AC243" s="26"/>
    </row>
    <row r="244" ht="28" spans="1:29">
      <c r="A244" s="26"/>
      <c r="B244" s="26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>
        <v>260226</v>
      </c>
      <c r="T244" s="59" t="s">
        <v>30</v>
      </c>
      <c r="U244" s="51" t="s">
        <v>85</v>
      </c>
      <c r="V244" s="72" t="s">
        <v>30</v>
      </c>
      <c r="W244" s="74" t="s">
        <v>373</v>
      </c>
      <c r="X244" s="72" t="s">
        <v>33</v>
      </c>
      <c r="Y244" s="51" t="str">
        <f t="shared" si="3"/>
        <v>260226_TPNB500597_0141_AXXXXXXXXX</v>
      </c>
      <c r="Z244" s="51" t="s">
        <v>87</v>
      </c>
      <c r="AA244" s="51" t="s">
        <v>35</v>
      </c>
      <c r="AB244" s="26"/>
      <c r="AC244" s="26"/>
    </row>
    <row r="245" ht="28" spans="1:29">
      <c r="A245" s="26"/>
      <c r="B245" s="26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>
        <v>260226</v>
      </c>
      <c r="T245" s="59" t="s">
        <v>30</v>
      </c>
      <c r="U245" s="51" t="s">
        <v>88</v>
      </c>
      <c r="V245" s="72" t="s">
        <v>30</v>
      </c>
      <c r="W245" s="40" t="s">
        <v>360</v>
      </c>
      <c r="X245" s="72" t="s">
        <v>33</v>
      </c>
      <c r="Y245" s="51" t="str">
        <f t="shared" si="3"/>
        <v>260226_TPNB500641_0151_AXXXXXXXXX</v>
      </c>
      <c r="Z245" s="51" t="s">
        <v>90</v>
      </c>
      <c r="AA245" s="51" t="s">
        <v>35</v>
      </c>
      <c r="AB245" s="26"/>
      <c r="AC245" s="26"/>
    </row>
    <row r="246" ht="28" spans="1:29">
      <c r="A246" s="26"/>
      <c r="B246" s="26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>
        <v>260226</v>
      </c>
      <c r="T246" s="59" t="s">
        <v>30</v>
      </c>
      <c r="U246" s="51" t="s">
        <v>36</v>
      </c>
      <c r="V246" s="72" t="s">
        <v>30</v>
      </c>
      <c r="W246" s="102" t="s">
        <v>374</v>
      </c>
      <c r="X246" s="72" t="s">
        <v>33</v>
      </c>
      <c r="Y246" s="51" t="str">
        <f t="shared" si="3"/>
        <v>260226_NDX551406_RUO_0334_AXXXXXXXXX</v>
      </c>
      <c r="Z246" s="51" t="s">
        <v>38</v>
      </c>
      <c r="AA246" s="51" t="s">
        <v>39</v>
      </c>
      <c r="AB246" s="26"/>
      <c r="AC246" s="26"/>
    </row>
    <row r="247" ht="28" spans="1:29">
      <c r="A247" s="26"/>
      <c r="B247" s="26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>
        <v>260226</v>
      </c>
      <c r="T247" s="59" t="s">
        <v>30</v>
      </c>
      <c r="U247" s="51" t="s">
        <v>92</v>
      </c>
      <c r="V247" s="72" t="s">
        <v>30</v>
      </c>
      <c r="W247" s="103" t="s">
        <v>151</v>
      </c>
      <c r="X247" s="72" t="s">
        <v>33</v>
      </c>
      <c r="Y247" s="51" t="str">
        <f t="shared" si="3"/>
        <v>260226_NDX550598_RUO_0102_AXXXXXXXXX</v>
      </c>
      <c r="Z247" s="51" t="s">
        <v>94</v>
      </c>
      <c r="AA247" s="51" t="s">
        <v>39</v>
      </c>
      <c r="AB247" s="26"/>
      <c r="AC247" s="26"/>
    </row>
    <row r="248" ht="28" spans="1:29">
      <c r="A248" s="26"/>
      <c r="B248" s="26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>
        <v>260226</v>
      </c>
      <c r="T248" s="59" t="s">
        <v>30</v>
      </c>
      <c r="U248" s="51" t="s">
        <v>95</v>
      </c>
      <c r="V248" s="72" t="s">
        <v>30</v>
      </c>
      <c r="W248" s="103" t="s">
        <v>333</v>
      </c>
      <c r="X248" s="72" t="s">
        <v>33</v>
      </c>
      <c r="Y248" s="51" t="str">
        <f t="shared" si="3"/>
        <v>260226_NDX550778_RUO_0125_AXXXXXXXXX</v>
      </c>
      <c r="Z248" s="51" t="s">
        <v>97</v>
      </c>
      <c r="AA248" s="51" t="s">
        <v>39</v>
      </c>
      <c r="AB248" s="26"/>
      <c r="AC248" s="26"/>
    </row>
    <row r="249" ht="28" spans="1:29">
      <c r="A249" s="26"/>
      <c r="B249" s="26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>
        <v>260226</v>
      </c>
      <c r="T249" s="59" t="s">
        <v>30</v>
      </c>
      <c r="U249" s="26" t="s">
        <v>98</v>
      </c>
      <c r="V249" s="72" t="s">
        <v>30</v>
      </c>
      <c r="W249" s="102" t="s">
        <v>352</v>
      </c>
      <c r="X249" s="72" t="s">
        <v>33</v>
      </c>
      <c r="Y249" s="51" t="str">
        <f t="shared" si="3"/>
        <v>260226_TPNB500657_0150_AXXXXXXXXX</v>
      </c>
      <c r="Z249" s="51" t="s">
        <v>100</v>
      </c>
      <c r="AA249" s="51" t="s">
        <v>35</v>
      </c>
      <c r="AB249" s="26"/>
      <c r="AC249" s="26"/>
    </row>
    <row r="250" ht="28" spans="1:29">
      <c r="A250" s="26"/>
      <c r="B250" s="26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>
        <v>260226</v>
      </c>
      <c r="T250" s="59" t="s">
        <v>30</v>
      </c>
      <c r="U250" s="26" t="s">
        <v>101</v>
      </c>
      <c r="V250" s="72" t="s">
        <v>30</v>
      </c>
      <c r="W250" s="107" t="s">
        <v>360</v>
      </c>
      <c r="X250" s="72" t="s">
        <v>33</v>
      </c>
      <c r="Y250" s="51" t="str">
        <f t="shared" si="3"/>
        <v>260226_TPNB500530_0151_AXXXXXXXXX</v>
      </c>
      <c r="Z250" s="51" t="s">
        <v>103</v>
      </c>
      <c r="AA250" s="51" t="s">
        <v>35</v>
      </c>
      <c r="AB250" s="26"/>
      <c r="AC250" s="26"/>
    </row>
    <row r="251" ht="28" spans="1:29">
      <c r="A251" s="26"/>
      <c r="B251" s="26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>
        <v>260226</v>
      </c>
      <c r="T251" s="59" t="s">
        <v>30</v>
      </c>
      <c r="U251" s="26" t="s">
        <v>104</v>
      </c>
      <c r="V251" s="72" t="s">
        <v>30</v>
      </c>
      <c r="W251" s="104" t="s">
        <v>373</v>
      </c>
      <c r="X251" s="72" t="s">
        <v>33</v>
      </c>
      <c r="Y251" s="51" t="str">
        <f t="shared" si="3"/>
        <v>260226_TPNB500560_0141_AXXXXXXXXX</v>
      </c>
      <c r="Z251" s="51" t="s">
        <v>106</v>
      </c>
      <c r="AA251" s="51" t="s">
        <v>35</v>
      </c>
      <c r="AB251" s="26"/>
      <c r="AC251" s="26"/>
    </row>
    <row r="252" ht="28" spans="1:29">
      <c r="A252" s="26"/>
      <c r="B252" s="26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>
        <v>260226</v>
      </c>
      <c r="T252" s="59" t="s">
        <v>30</v>
      </c>
      <c r="U252" s="51" t="s">
        <v>36</v>
      </c>
      <c r="V252" s="72" t="s">
        <v>30</v>
      </c>
      <c r="W252" s="102" t="s">
        <v>375</v>
      </c>
      <c r="X252" s="72" t="s">
        <v>33</v>
      </c>
      <c r="Y252" s="51" t="str">
        <f t="shared" si="3"/>
        <v>260226_NDX551406_RUO_0335_AXXXXXXXXX</v>
      </c>
      <c r="Z252" s="51" t="s">
        <v>38</v>
      </c>
      <c r="AA252" s="51" t="s">
        <v>39</v>
      </c>
      <c r="AB252" s="26"/>
      <c r="AC252" s="26"/>
    </row>
    <row r="253" ht="28" spans="1:29">
      <c r="A253" s="26"/>
      <c r="B253" s="26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>
        <v>260226</v>
      </c>
      <c r="T253" s="59" t="s">
        <v>30</v>
      </c>
      <c r="U253" s="51" t="s">
        <v>92</v>
      </c>
      <c r="V253" s="72" t="s">
        <v>30</v>
      </c>
      <c r="W253" s="103" t="s">
        <v>166</v>
      </c>
      <c r="X253" s="72" t="s">
        <v>33</v>
      </c>
      <c r="Y253" s="51" t="str">
        <f t="shared" si="3"/>
        <v>260226_NDX550598_RUO_0103_AXXXXXXXXX</v>
      </c>
      <c r="Z253" s="51" t="s">
        <v>94</v>
      </c>
      <c r="AA253" s="51" t="s">
        <v>39</v>
      </c>
      <c r="AB253" s="26"/>
      <c r="AC253" s="26"/>
    </row>
    <row r="254" ht="28" spans="1:29">
      <c r="A254" s="26"/>
      <c r="B254" s="26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>
        <v>260226</v>
      </c>
      <c r="T254" s="59" t="s">
        <v>30</v>
      </c>
      <c r="U254" s="51" t="s">
        <v>95</v>
      </c>
      <c r="V254" s="72" t="s">
        <v>30</v>
      </c>
      <c r="W254" s="103" t="s">
        <v>337</v>
      </c>
      <c r="X254" s="72" t="s">
        <v>33</v>
      </c>
      <c r="Y254" s="51" t="str">
        <f t="shared" si="3"/>
        <v>260226_NDX550778_RUO_0126_AXXXXXXXXX</v>
      </c>
      <c r="Z254" s="51" t="s">
        <v>97</v>
      </c>
      <c r="AA254" s="51" t="s">
        <v>39</v>
      </c>
      <c r="AB254" s="26"/>
      <c r="AC254" s="26"/>
    </row>
    <row r="255" ht="28" spans="1:29">
      <c r="A255" s="26"/>
      <c r="B255" s="26"/>
      <c r="C255" s="59" t="s">
        <v>364</v>
      </c>
      <c r="D255" s="59" t="s">
        <v>242</v>
      </c>
      <c r="E255" s="59" t="s">
        <v>364</v>
      </c>
      <c r="F255" s="59" t="s">
        <v>242</v>
      </c>
      <c r="G255" s="59" t="s">
        <v>365</v>
      </c>
      <c r="H255" s="59" t="s">
        <v>242</v>
      </c>
      <c r="I255" s="59" t="s">
        <v>376</v>
      </c>
      <c r="J255" s="59" t="s">
        <v>73</v>
      </c>
      <c r="K255" s="59" t="s">
        <v>377</v>
      </c>
      <c r="L255" s="59" t="s">
        <v>77</v>
      </c>
      <c r="M255" s="59" t="s">
        <v>378</v>
      </c>
      <c r="N255" s="59" t="s">
        <v>77</v>
      </c>
      <c r="O255" s="69" t="s">
        <v>379</v>
      </c>
      <c r="P255" s="59" t="s">
        <v>81</v>
      </c>
      <c r="Q255" s="59"/>
      <c r="R255" s="59" t="s">
        <v>380</v>
      </c>
      <c r="S255" s="59">
        <v>260227</v>
      </c>
      <c r="T255" s="59" t="s">
        <v>30</v>
      </c>
      <c r="U255" s="51" t="s">
        <v>31</v>
      </c>
      <c r="V255" s="72" t="s">
        <v>30</v>
      </c>
      <c r="W255" s="102" t="s">
        <v>381</v>
      </c>
      <c r="X255" s="72" t="s">
        <v>33</v>
      </c>
      <c r="Y255" s="51" t="str">
        <f t="shared" si="3"/>
        <v>260227_TPNB500477_0218_AXXXXXXXXX</v>
      </c>
      <c r="Z255" s="51" t="s">
        <v>34</v>
      </c>
      <c r="AA255" s="51" t="s">
        <v>35</v>
      </c>
      <c r="AB255" s="26"/>
      <c r="AC255" s="26"/>
    </row>
    <row r="256" ht="28" spans="1:29">
      <c r="A256" s="26"/>
      <c r="B256" s="26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>
        <v>260227</v>
      </c>
      <c r="T256" s="59" t="s">
        <v>30</v>
      </c>
      <c r="U256" s="51" t="s">
        <v>85</v>
      </c>
      <c r="V256" s="72" t="s">
        <v>30</v>
      </c>
      <c r="W256" s="74" t="s">
        <v>50</v>
      </c>
      <c r="X256" s="72" t="s">
        <v>33</v>
      </c>
      <c r="Y256" s="51" t="str">
        <f t="shared" si="3"/>
        <v>260227_TPNB500597_0143_AXXXXXXXXX</v>
      </c>
      <c r="Z256" s="51" t="s">
        <v>87</v>
      </c>
      <c r="AA256" s="51" t="s">
        <v>35</v>
      </c>
      <c r="AB256" s="26"/>
      <c r="AC256" s="26"/>
    </row>
    <row r="257" ht="28" spans="1:29">
      <c r="A257" s="26"/>
      <c r="B257" s="26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>
        <v>260227</v>
      </c>
      <c r="T257" s="59" t="s">
        <v>30</v>
      </c>
      <c r="U257" s="51" t="s">
        <v>88</v>
      </c>
      <c r="V257" s="72" t="s">
        <v>30</v>
      </c>
      <c r="W257" s="40" t="s">
        <v>84</v>
      </c>
      <c r="X257" s="72" t="s">
        <v>33</v>
      </c>
      <c r="Y257" s="51" t="str">
        <f t="shared" si="3"/>
        <v>260227_TPNB500641_0153_AXXXXXXXXX</v>
      </c>
      <c r="Z257" s="51" t="s">
        <v>90</v>
      </c>
      <c r="AA257" s="51" t="s">
        <v>35</v>
      </c>
      <c r="AB257" s="26"/>
      <c r="AC257" s="26"/>
    </row>
    <row r="258" ht="28" spans="1:29">
      <c r="A258" s="26"/>
      <c r="B258" s="26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>
        <v>260227</v>
      </c>
      <c r="T258" s="59" t="s">
        <v>30</v>
      </c>
      <c r="U258" s="51" t="s">
        <v>36</v>
      </c>
      <c r="V258" s="72" t="s">
        <v>30</v>
      </c>
      <c r="W258" s="102" t="s">
        <v>382</v>
      </c>
      <c r="X258" s="72" t="s">
        <v>33</v>
      </c>
      <c r="Y258" s="51" t="str">
        <f t="shared" ref="Y258:Y321" si="4">S258&amp;T258&amp;U258&amp;V258&amp;W258&amp;X258</f>
        <v>260227_NDX551406_RUO_0336_AXXXXXXXXX</v>
      </c>
      <c r="Z258" s="51" t="s">
        <v>38</v>
      </c>
      <c r="AA258" s="51" t="s">
        <v>39</v>
      </c>
      <c r="AB258" s="26"/>
      <c r="AC258" s="26"/>
    </row>
    <row r="259" ht="28" spans="1:29">
      <c r="A259" s="26"/>
      <c r="B259" s="26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>
        <v>260227</v>
      </c>
      <c r="T259" s="59" t="s">
        <v>30</v>
      </c>
      <c r="U259" s="51" t="s">
        <v>92</v>
      </c>
      <c r="V259" s="72" t="s">
        <v>30</v>
      </c>
      <c r="W259" s="103" t="s">
        <v>165</v>
      </c>
      <c r="X259" s="72" t="s">
        <v>33</v>
      </c>
      <c r="Y259" s="51" t="str">
        <f t="shared" si="4"/>
        <v>260227_NDX550598_RUO_0104_AXXXXXXXXX</v>
      </c>
      <c r="Z259" s="51" t="s">
        <v>94</v>
      </c>
      <c r="AA259" s="51" t="s">
        <v>39</v>
      </c>
      <c r="AB259" s="26"/>
      <c r="AC259" s="26"/>
    </row>
    <row r="260" ht="28" spans="1:29">
      <c r="A260" s="26"/>
      <c r="B260" s="26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>
        <v>260227</v>
      </c>
      <c r="T260" s="59" t="s">
        <v>30</v>
      </c>
      <c r="U260" s="51" t="s">
        <v>95</v>
      </c>
      <c r="V260" s="72" t="s">
        <v>30</v>
      </c>
      <c r="W260" s="103" t="s">
        <v>346</v>
      </c>
      <c r="X260" s="72" t="s">
        <v>33</v>
      </c>
      <c r="Y260" s="51" t="str">
        <f t="shared" si="4"/>
        <v>260227_NDX550778_RUO_0127_AXXXXXXXXX</v>
      </c>
      <c r="Z260" s="51" t="s">
        <v>97</v>
      </c>
      <c r="AA260" s="51" t="s">
        <v>39</v>
      </c>
      <c r="AB260" s="26"/>
      <c r="AC260" s="26"/>
    </row>
    <row r="261" ht="28" spans="1:29">
      <c r="A261" s="26"/>
      <c r="B261" s="26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>
        <v>260227</v>
      </c>
      <c r="T261" s="59" t="s">
        <v>30</v>
      </c>
      <c r="U261" s="26" t="s">
        <v>98</v>
      </c>
      <c r="V261" s="72" t="s">
        <v>30</v>
      </c>
      <c r="W261" s="102" t="s">
        <v>363</v>
      </c>
      <c r="X261" s="72" t="s">
        <v>33</v>
      </c>
      <c r="Y261" s="51" t="str">
        <f t="shared" si="4"/>
        <v>260227_TPNB500657_0152_AXXXXXXXXX</v>
      </c>
      <c r="Z261" s="51" t="s">
        <v>100</v>
      </c>
      <c r="AA261" s="51" t="s">
        <v>35</v>
      </c>
      <c r="AB261" s="26"/>
      <c r="AC261" s="26"/>
    </row>
    <row r="262" ht="28" spans="1:29">
      <c r="A262" s="26"/>
      <c r="B262" s="26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>
        <v>260227</v>
      </c>
      <c r="T262" s="59" t="s">
        <v>30</v>
      </c>
      <c r="U262" s="26" t="s">
        <v>101</v>
      </c>
      <c r="V262" s="72" t="s">
        <v>30</v>
      </c>
      <c r="W262" s="107" t="s">
        <v>84</v>
      </c>
      <c r="X262" s="72" t="s">
        <v>33</v>
      </c>
      <c r="Y262" s="51" t="str">
        <f t="shared" si="4"/>
        <v>260227_TPNB500530_0153_AXXXXXXXXX</v>
      </c>
      <c r="Z262" s="51" t="s">
        <v>103</v>
      </c>
      <c r="AA262" s="51" t="s">
        <v>35</v>
      </c>
      <c r="AB262" s="26"/>
      <c r="AC262" s="26"/>
    </row>
    <row r="263" ht="28" spans="1:29">
      <c r="A263" s="26"/>
      <c r="B263" s="26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>
        <v>260227</v>
      </c>
      <c r="T263" s="59" t="s">
        <v>30</v>
      </c>
      <c r="U263" s="26" t="s">
        <v>104</v>
      </c>
      <c r="V263" s="72" t="s">
        <v>30</v>
      </c>
      <c r="W263" s="104" t="s">
        <v>50</v>
      </c>
      <c r="X263" s="72" t="s">
        <v>33</v>
      </c>
      <c r="Y263" s="51" t="str">
        <f t="shared" si="4"/>
        <v>260227_TPNB500560_0143_AXXXXXXXXX</v>
      </c>
      <c r="Z263" s="51" t="s">
        <v>106</v>
      </c>
      <c r="AA263" s="51" t="s">
        <v>35</v>
      </c>
      <c r="AB263" s="26"/>
      <c r="AC263" s="26"/>
    </row>
    <row r="264" ht="28" spans="1:29">
      <c r="A264" s="26"/>
      <c r="B264" s="26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>
        <v>260227</v>
      </c>
      <c r="T264" s="59" t="s">
        <v>30</v>
      </c>
      <c r="U264" s="51" t="s">
        <v>36</v>
      </c>
      <c r="V264" s="72" t="s">
        <v>30</v>
      </c>
      <c r="W264" s="102" t="s">
        <v>383</v>
      </c>
      <c r="X264" s="72" t="s">
        <v>33</v>
      </c>
      <c r="Y264" s="51" t="str">
        <f t="shared" si="4"/>
        <v>260227_NDX551406_RUO_0337_AXXXXXXXXX</v>
      </c>
      <c r="Z264" s="51" t="s">
        <v>38</v>
      </c>
      <c r="AA264" s="51" t="s">
        <v>39</v>
      </c>
      <c r="AB264" s="26"/>
      <c r="AC264" s="26"/>
    </row>
    <row r="265" ht="28" spans="1:29">
      <c r="A265" s="26"/>
      <c r="B265" s="26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>
        <v>260227</v>
      </c>
      <c r="T265" s="59" t="s">
        <v>30</v>
      </c>
      <c r="U265" s="51" t="s">
        <v>92</v>
      </c>
      <c r="V265" s="72" t="s">
        <v>30</v>
      </c>
      <c r="W265" s="103" t="s">
        <v>178</v>
      </c>
      <c r="X265" s="72" t="s">
        <v>33</v>
      </c>
      <c r="Y265" s="51" t="str">
        <f t="shared" si="4"/>
        <v>260227_NDX550598_RUO_0105_AXXXXXXXXX</v>
      </c>
      <c r="Z265" s="51" t="s">
        <v>94</v>
      </c>
      <c r="AA265" s="51" t="s">
        <v>39</v>
      </c>
      <c r="AB265" s="26"/>
      <c r="AC265" s="26"/>
    </row>
    <row r="266" ht="28" spans="1:29">
      <c r="A266" s="26"/>
      <c r="B266" s="26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>
        <v>260227</v>
      </c>
      <c r="T266" s="59" t="s">
        <v>30</v>
      </c>
      <c r="U266" s="51" t="s">
        <v>95</v>
      </c>
      <c r="V266" s="72" t="s">
        <v>30</v>
      </c>
      <c r="W266" s="103" t="s">
        <v>350</v>
      </c>
      <c r="X266" s="72" t="s">
        <v>33</v>
      </c>
      <c r="Y266" s="51" t="str">
        <f t="shared" si="4"/>
        <v>260227_NDX550778_RUO_0128_AXXXXXXXXX</v>
      </c>
      <c r="Z266" s="51" t="s">
        <v>97</v>
      </c>
      <c r="AA266" s="51" t="s">
        <v>39</v>
      </c>
      <c r="AB266" s="26"/>
      <c r="AC266" s="26"/>
    </row>
    <row r="267" ht="28" spans="1:29">
      <c r="A267" s="26"/>
      <c r="B267" s="26"/>
      <c r="C267" s="59" t="s">
        <v>364</v>
      </c>
      <c r="D267" s="59" t="s">
        <v>242</v>
      </c>
      <c r="E267" s="59" t="s">
        <v>364</v>
      </c>
      <c r="F267" s="59" t="s">
        <v>242</v>
      </c>
      <c r="G267" s="59" t="s">
        <v>365</v>
      </c>
      <c r="H267" s="59" t="s">
        <v>242</v>
      </c>
      <c r="I267" s="59" t="s">
        <v>384</v>
      </c>
      <c r="J267" s="59" t="s">
        <v>73</v>
      </c>
      <c r="K267" s="59" t="s">
        <v>385</v>
      </c>
      <c r="L267" s="59" t="s">
        <v>77</v>
      </c>
      <c r="M267" s="59" t="s">
        <v>386</v>
      </c>
      <c r="N267" s="59" t="s">
        <v>77</v>
      </c>
      <c r="O267" s="69" t="s">
        <v>387</v>
      </c>
      <c r="P267" s="59" t="s">
        <v>81</v>
      </c>
      <c r="Q267" s="59"/>
      <c r="R267" s="59" t="s">
        <v>388</v>
      </c>
      <c r="S267" s="59">
        <v>260228</v>
      </c>
      <c r="T267" s="59" t="s">
        <v>30</v>
      </c>
      <c r="U267" s="51" t="s">
        <v>31</v>
      </c>
      <c r="V267" s="72" t="s">
        <v>30</v>
      </c>
      <c r="W267" s="102" t="s">
        <v>389</v>
      </c>
      <c r="X267" s="72" t="s">
        <v>33</v>
      </c>
      <c r="Y267" s="51" t="str">
        <f t="shared" si="4"/>
        <v>260228_TPNB500477_0220_AXXXXXXXXX</v>
      </c>
      <c r="Z267" s="51" t="s">
        <v>34</v>
      </c>
      <c r="AA267" s="51" t="s">
        <v>35</v>
      </c>
      <c r="AB267" s="26"/>
      <c r="AC267" s="26"/>
    </row>
    <row r="268" ht="28" spans="1:29">
      <c r="A268" s="26"/>
      <c r="B268" s="26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>
        <v>260228</v>
      </c>
      <c r="T268" s="59" t="s">
        <v>30</v>
      </c>
      <c r="U268" s="51" t="s">
        <v>85</v>
      </c>
      <c r="V268" s="72" t="s">
        <v>30</v>
      </c>
      <c r="W268" s="74" t="s">
        <v>70</v>
      </c>
      <c r="X268" s="72" t="s">
        <v>33</v>
      </c>
      <c r="Y268" s="51" t="str">
        <f t="shared" si="4"/>
        <v>260228_TPNB500597_0145_AXXXXXXXXX</v>
      </c>
      <c r="Z268" s="51" t="s">
        <v>87</v>
      </c>
      <c r="AA268" s="51" t="s">
        <v>35</v>
      </c>
      <c r="AB268" s="26"/>
      <c r="AC268" s="26"/>
    </row>
    <row r="269" ht="28" spans="1:29">
      <c r="A269" s="26"/>
      <c r="B269" s="26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>
        <v>260228</v>
      </c>
      <c r="T269" s="59" t="s">
        <v>30</v>
      </c>
      <c r="U269" s="51" t="s">
        <v>88</v>
      </c>
      <c r="V269" s="72" t="s">
        <v>30</v>
      </c>
      <c r="W269" s="40" t="s">
        <v>115</v>
      </c>
      <c r="X269" s="72" t="s">
        <v>33</v>
      </c>
      <c r="Y269" s="51" t="str">
        <f t="shared" si="4"/>
        <v>260228_TPNB500641_0155_AXXXXXXXXX</v>
      </c>
      <c r="Z269" s="51" t="s">
        <v>90</v>
      </c>
      <c r="AA269" s="51" t="s">
        <v>35</v>
      </c>
      <c r="AB269" s="26"/>
      <c r="AC269" s="26"/>
    </row>
    <row r="270" ht="28" spans="1:29">
      <c r="A270" s="26"/>
      <c r="B270" s="26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>
        <v>260228</v>
      </c>
      <c r="T270" s="59" t="s">
        <v>30</v>
      </c>
      <c r="U270" s="51" t="s">
        <v>36</v>
      </c>
      <c r="V270" s="72" t="s">
        <v>30</v>
      </c>
      <c r="W270" s="102" t="s">
        <v>390</v>
      </c>
      <c r="X270" s="72" t="s">
        <v>33</v>
      </c>
      <c r="Y270" s="51" t="str">
        <f t="shared" si="4"/>
        <v>260228_NDX551406_RUO_0338_AXXXXXXXXX</v>
      </c>
      <c r="Z270" s="51" t="s">
        <v>38</v>
      </c>
      <c r="AA270" s="51" t="s">
        <v>39</v>
      </c>
      <c r="AB270" s="26"/>
      <c r="AC270" s="26"/>
    </row>
    <row r="271" ht="28" spans="1:29">
      <c r="A271" s="26"/>
      <c r="B271" s="26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>
        <v>260228</v>
      </c>
      <c r="T271" s="59" t="s">
        <v>30</v>
      </c>
      <c r="U271" s="51" t="s">
        <v>92</v>
      </c>
      <c r="V271" s="72" t="s">
        <v>30</v>
      </c>
      <c r="W271" s="103" t="s">
        <v>177</v>
      </c>
      <c r="X271" s="72" t="s">
        <v>33</v>
      </c>
      <c r="Y271" s="51" t="str">
        <f t="shared" si="4"/>
        <v>260228_NDX550598_RUO_0106_AXXXXXXXXX</v>
      </c>
      <c r="Z271" s="51" t="s">
        <v>94</v>
      </c>
      <c r="AA271" s="51" t="s">
        <v>39</v>
      </c>
      <c r="AB271" s="26"/>
      <c r="AC271" s="26"/>
    </row>
    <row r="272" ht="28" spans="1:29">
      <c r="A272" s="26"/>
      <c r="B272" s="26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>
        <v>260228</v>
      </c>
      <c r="T272" s="59" t="s">
        <v>30</v>
      </c>
      <c r="U272" s="51" t="s">
        <v>95</v>
      </c>
      <c r="V272" s="72" t="s">
        <v>30</v>
      </c>
      <c r="W272" s="103" t="s">
        <v>322</v>
      </c>
      <c r="X272" s="72" t="s">
        <v>33</v>
      </c>
      <c r="Y272" s="51" t="str">
        <f t="shared" si="4"/>
        <v>260228_NDX550778_RUO_0129_AXXXXXXXXX</v>
      </c>
      <c r="Z272" s="51" t="s">
        <v>97</v>
      </c>
      <c r="AA272" s="51" t="s">
        <v>39</v>
      </c>
      <c r="AB272" s="26"/>
      <c r="AC272" s="26"/>
    </row>
    <row r="273" ht="28" spans="1:29">
      <c r="A273" s="26"/>
      <c r="B273" s="26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>
        <v>260228</v>
      </c>
      <c r="T273" s="59" t="s">
        <v>30</v>
      </c>
      <c r="U273" s="26" t="s">
        <v>98</v>
      </c>
      <c r="V273" s="72" t="s">
        <v>30</v>
      </c>
      <c r="W273" s="102" t="s">
        <v>391</v>
      </c>
      <c r="X273" s="72" t="s">
        <v>33</v>
      </c>
      <c r="Y273" s="51" t="str">
        <f t="shared" si="4"/>
        <v>260228_TPNB500657_0154_AXXXXXXXXX</v>
      </c>
      <c r="Z273" s="51" t="s">
        <v>100</v>
      </c>
      <c r="AA273" s="51" t="s">
        <v>35</v>
      </c>
      <c r="AB273" s="26"/>
      <c r="AC273" s="26"/>
    </row>
    <row r="274" ht="28" spans="1:29">
      <c r="A274" s="26"/>
      <c r="B274" s="26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>
        <v>260228</v>
      </c>
      <c r="T274" s="59" t="s">
        <v>30</v>
      </c>
      <c r="U274" s="26" t="s">
        <v>101</v>
      </c>
      <c r="V274" s="72" t="s">
        <v>30</v>
      </c>
      <c r="W274" s="107" t="s">
        <v>115</v>
      </c>
      <c r="X274" s="72" t="s">
        <v>33</v>
      </c>
      <c r="Y274" s="51" t="str">
        <f t="shared" si="4"/>
        <v>260228_TPNB500530_0155_AXXXXXXXXX</v>
      </c>
      <c r="Z274" s="51" t="s">
        <v>103</v>
      </c>
      <c r="AA274" s="51" t="s">
        <v>35</v>
      </c>
      <c r="AB274" s="26"/>
      <c r="AC274" s="26"/>
    </row>
    <row r="275" ht="28" spans="1:29">
      <c r="A275" s="26"/>
      <c r="B275" s="26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>
        <v>260228</v>
      </c>
      <c r="T275" s="59" t="s">
        <v>30</v>
      </c>
      <c r="U275" s="26" t="s">
        <v>104</v>
      </c>
      <c r="V275" s="72" t="s">
        <v>30</v>
      </c>
      <c r="W275" s="104" t="s">
        <v>70</v>
      </c>
      <c r="X275" s="72" t="s">
        <v>33</v>
      </c>
      <c r="Y275" s="51" t="str">
        <f t="shared" si="4"/>
        <v>260228_TPNB500560_0145_AXXXXXXXXX</v>
      </c>
      <c r="Z275" s="51" t="s">
        <v>106</v>
      </c>
      <c r="AA275" s="51" t="s">
        <v>35</v>
      </c>
      <c r="AB275" s="26"/>
      <c r="AC275" s="26"/>
    </row>
    <row r="276" ht="28" spans="1:29">
      <c r="A276" s="26"/>
      <c r="B276" s="26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>
        <v>260228</v>
      </c>
      <c r="T276" s="59" t="s">
        <v>30</v>
      </c>
      <c r="U276" s="51" t="s">
        <v>36</v>
      </c>
      <c r="V276" s="72" t="s">
        <v>30</v>
      </c>
      <c r="W276" s="102" t="s">
        <v>392</v>
      </c>
      <c r="X276" s="72" t="s">
        <v>33</v>
      </c>
      <c r="Y276" s="51" t="str">
        <f t="shared" si="4"/>
        <v>260228_NDX551406_RUO_0339_AXXXXXXXXX</v>
      </c>
      <c r="Z276" s="51" t="s">
        <v>38</v>
      </c>
      <c r="AA276" s="51" t="s">
        <v>39</v>
      </c>
      <c r="AB276" s="26"/>
      <c r="AC276" s="26"/>
    </row>
    <row r="277" ht="28" spans="1:29">
      <c r="A277" s="26"/>
      <c r="B277" s="26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>
        <v>260228</v>
      </c>
      <c r="T277" s="59" t="s">
        <v>30</v>
      </c>
      <c r="U277" s="51" t="s">
        <v>92</v>
      </c>
      <c r="V277" s="72" t="s">
        <v>30</v>
      </c>
      <c r="W277" s="103" t="s">
        <v>189</v>
      </c>
      <c r="X277" s="72" t="s">
        <v>33</v>
      </c>
      <c r="Y277" s="51" t="str">
        <f t="shared" si="4"/>
        <v>260228_NDX550598_RUO_0107_AXXXXXXXXX</v>
      </c>
      <c r="Z277" s="51" t="s">
        <v>94</v>
      </c>
      <c r="AA277" s="51" t="s">
        <v>39</v>
      </c>
      <c r="AB277" s="26"/>
      <c r="AC277" s="26"/>
    </row>
    <row r="278" ht="28" spans="1:29">
      <c r="A278" s="26"/>
      <c r="B278" s="26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>
        <v>260228</v>
      </c>
      <c r="T278" s="59" t="s">
        <v>30</v>
      </c>
      <c r="U278" s="51" t="s">
        <v>95</v>
      </c>
      <c r="V278" s="72" t="s">
        <v>30</v>
      </c>
      <c r="W278" s="103" t="s">
        <v>325</v>
      </c>
      <c r="X278" s="72" t="s">
        <v>33</v>
      </c>
      <c r="Y278" s="51" t="str">
        <f t="shared" si="4"/>
        <v>260228_NDX550778_RUO_0130_AXXXXXXXXX</v>
      </c>
      <c r="Z278" s="51" t="s">
        <v>97</v>
      </c>
      <c r="AA278" s="51" t="s">
        <v>39</v>
      </c>
      <c r="AB278" s="26"/>
      <c r="AC278" s="26"/>
    </row>
    <row r="279" ht="28" spans="1:29">
      <c r="A279" s="26"/>
      <c r="B279" s="26"/>
      <c r="C279" s="59" t="s">
        <v>364</v>
      </c>
      <c r="D279" s="59" t="s">
        <v>242</v>
      </c>
      <c r="E279" s="59" t="s">
        <v>364</v>
      </c>
      <c r="F279" s="59" t="s">
        <v>242</v>
      </c>
      <c r="G279" s="59" t="s">
        <v>365</v>
      </c>
      <c r="H279" s="59" t="s">
        <v>242</v>
      </c>
      <c r="I279" s="59" t="s">
        <v>393</v>
      </c>
      <c r="J279" s="59" t="s">
        <v>73</v>
      </c>
      <c r="K279" s="59" t="s">
        <v>394</v>
      </c>
      <c r="L279" s="59" t="s">
        <v>77</v>
      </c>
      <c r="M279" s="59" t="s">
        <v>395</v>
      </c>
      <c r="N279" s="59" t="s">
        <v>77</v>
      </c>
      <c r="O279" s="69" t="s">
        <v>396</v>
      </c>
      <c r="P279" s="59" t="s">
        <v>81</v>
      </c>
      <c r="Q279" s="59"/>
      <c r="R279" s="59" t="s">
        <v>397</v>
      </c>
      <c r="S279" s="59">
        <v>260301</v>
      </c>
      <c r="T279" s="59" t="s">
        <v>30</v>
      </c>
      <c r="U279" s="51" t="s">
        <v>31</v>
      </c>
      <c r="V279" s="72" t="s">
        <v>30</v>
      </c>
      <c r="W279" s="102" t="s">
        <v>398</v>
      </c>
      <c r="X279" s="72" t="s">
        <v>33</v>
      </c>
      <c r="Y279" s="51" t="str">
        <f t="shared" si="4"/>
        <v>260301_TPNB500477_0222_AXXXXXXXXX</v>
      </c>
      <c r="Z279" s="51" t="s">
        <v>34</v>
      </c>
      <c r="AA279" s="51" t="s">
        <v>35</v>
      </c>
      <c r="AB279" s="26"/>
      <c r="AC279" s="26"/>
    </row>
    <row r="280" ht="28" spans="1:29">
      <c r="A280" s="26"/>
      <c r="B280" s="26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>
        <v>260301</v>
      </c>
      <c r="T280" s="59" t="s">
        <v>30</v>
      </c>
      <c r="U280" s="51" t="s">
        <v>85</v>
      </c>
      <c r="V280" s="72" t="s">
        <v>30</v>
      </c>
      <c r="W280" s="74" t="s">
        <v>335</v>
      </c>
      <c r="X280" s="72" t="s">
        <v>33</v>
      </c>
      <c r="Y280" s="51" t="str">
        <f t="shared" si="4"/>
        <v>260301_TPNB500597_0147_AXXXXXXXXX</v>
      </c>
      <c r="Z280" s="51" t="s">
        <v>87</v>
      </c>
      <c r="AA280" s="51" t="s">
        <v>35</v>
      </c>
      <c r="AB280" s="26"/>
      <c r="AC280" s="26"/>
    </row>
    <row r="281" ht="28" spans="1:29">
      <c r="A281" s="26"/>
      <c r="B281" s="26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>
        <v>260301</v>
      </c>
      <c r="T281" s="59" t="s">
        <v>30</v>
      </c>
      <c r="U281" s="51" t="s">
        <v>88</v>
      </c>
      <c r="V281" s="72" t="s">
        <v>30</v>
      </c>
      <c r="W281" s="40" t="s">
        <v>131</v>
      </c>
      <c r="X281" s="72" t="s">
        <v>33</v>
      </c>
      <c r="Y281" s="51" t="str">
        <f t="shared" si="4"/>
        <v>260301_TPNB500641_0157_AXXXXXXXXX</v>
      </c>
      <c r="Z281" s="51" t="s">
        <v>90</v>
      </c>
      <c r="AA281" s="51" t="s">
        <v>35</v>
      </c>
      <c r="AB281" s="26"/>
      <c r="AC281" s="26"/>
    </row>
    <row r="282" ht="28" spans="1:29">
      <c r="A282" s="26"/>
      <c r="B282" s="26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>
        <v>260301</v>
      </c>
      <c r="T282" s="59" t="s">
        <v>30</v>
      </c>
      <c r="U282" s="51" t="s">
        <v>36</v>
      </c>
      <c r="V282" s="72" t="s">
        <v>30</v>
      </c>
      <c r="W282" s="102" t="s">
        <v>399</v>
      </c>
      <c r="X282" s="72" t="s">
        <v>33</v>
      </c>
      <c r="Y282" s="51" t="str">
        <f t="shared" si="4"/>
        <v>260301_NDX551406_RUO_0340_AXXXXXXXXX</v>
      </c>
      <c r="Z282" s="51" t="s">
        <v>38</v>
      </c>
      <c r="AA282" s="51" t="s">
        <v>39</v>
      </c>
      <c r="AB282" s="26"/>
      <c r="AC282" s="26"/>
    </row>
    <row r="283" ht="28" spans="1:29">
      <c r="A283" s="26"/>
      <c r="B283" s="26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>
        <v>260301</v>
      </c>
      <c r="T283" s="59" t="s">
        <v>30</v>
      </c>
      <c r="U283" s="51" t="s">
        <v>92</v>
      </c>
      <c r="V283" s="72" t="s">
        <v>30</v>
      </c>
      <c r="W283" s="103" t="s">
        <v>188</v>
      </c>
      <c r="X283" s="72" t="s">
        <v>33</v>
      </c>
      <c r="Y283" s="51" t="str">
        <f t="shared" si="4"/>
        <v>260301_NDX550598_RUO_0108_AXXXXXXXXX</v>
      </c>
      <c r="Z283" s="51" t="s">
        <v>94</v>
      </c>
      <c r="AA283" s="51" t="s">
        <v>39</v>
      </c>
      <c r="AB283" s="26"/>
      <c r="AC283" s="26"/>
    </row>
    <row r="284" ht="28" spans="1:29">
      <c r="A284" s="26"/>
      <c r="B284" s="26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>
        <v>260301</v>
      </c>
      <c r="T284" s="59" t="s">
        <v>30</v>
      </c>
      <c r="U284" s="51" t="s">
        <v>95</v>
      </c>
      <c r="V284" s="72" t="s">
        <v>30</v>
      </c>
      <c r="W284" s="103" t="s">
        <v>334</v>
      </c>
      <c r="X284" s="72" t="s">
        <v>33</v>
      </c>
      <c r="Y284" s="51" t="str">
        <f t="shared" si="4"/>
        <v>260301_NDX550778_RUO_0131_AXXXXXXXXX</v>
      </c>
      <c r="Z284" s="51" t="s">
        <v>97</v>
      </c>
      <c r="AA284" s="51" t="s">
        <v>39</v>
      </c>
      <c r="AB284" s="26"/>
      <c r="AC284" s="26"/>
    </row>
    <row r="285" ht="28" spans="1:29">
      <c r="A285" s="26"/>
      <c r="B285" s="26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>
        <v>260301</v>
      </c>
      <c r="T285" s="59" t="s">
        <v>30</v>
      </c>
      <c r="U285" s="26" t="s">
        <v>98</v>
      </c>
      <c r="V285" s="72" t="s">
        <v>30</v>
      </c>
      <c r="W285" s="102" t="s">
        <v>400</v>
      </c>
      <c r="X285" s="72" t="s">
        <v>33</v>
      </c>
      <c r="Y285" s="51" t="str">
        <f t="shared" si="4"/>
        <v>260301_TPNB500657_0156_AXXXXXXXXX</v>
      </c>
      <c r="Z285" s="51" t="s">
        <v>100</v>
      </c>
      <c r="AA285" s="51" t="s">
        <v>35</v>
      </c>
      <c r="AB285" s="26"/>
      <c r="AC285" s="26"/>
    </row>
    <row r="286" ht="28" spans="1:29">
      <c r="A286" s="26"/>
      <c r="B286" s="26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>
        <v>260301</v>
      </c>
      <c r="T286" s="59" t="s">
        <v>30</v>
      </c>
      <c r="U286" s="26" t="s">
        <v>101</v>
      </c>
      <c r="V286" s="72" t="s">
        <v>30</v>
      </c>
      <c r="W286" s="107" t="s">
        <v>131</v>
      </c>
      <c r="X286" s="72" t="s">
        <v>33</v>
      </c>
      <c r="Y286" s="51" t="str">
        <f t="shared" si="4"/>
        <v>260301_TPNB500530_0157_AXXXXXXXXX</v>
      </c>
      <c r="Z286" s="51" t="s">
        <v>103</v>
      </c>
      <c r="AA286" s="51" t="s">
        <v>35</v>
      </c>
      <c r="AB286" s="26"/>
      <c r="AC286" s="26"/>
    </row>
    <row r="287" ht="28" spans="1:29">
      <c r="A287" s="26"/>
      <c r="B287" s="26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>
        <v>260301</v>
      </c>
      <c r="T287" s="59" t="s">
        <v>30</v>
      </c>
      <c r="U287" s="26" t="s">
        <v>104</v>
      </c>
      <c r="V287" s="72" t="s">
        <v>30</v>
      </c>
      <c r="W287" s="104" t="s">
        <v>335</v>
      </c>
      <c r="X287" s="72" t="s">
        <v>33</v>
      </c>
      <c r="Y287" s="51" t="str">
        <f t="shared" si="4"/>
        <v>260301_TPNB500560_0147_AXXXXXXXXX</v>
      </c>
      <c r="Z287" s="51" t="s">
        <v>106</v>
      </c>
      <c r="AA287" s="51" t="s">
        <v>35</v>
      </c>
      <c r="AB287" s="26"/>
      <c r="AC287" s="26"/>
    </row>
    <row r="288" ht="28" spans="1:29">
      <c r="A288" s="26"/>
      <c r="B288" s="26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>
        <v>260301</v>
      </c>
      <c r="T288" s="59" t="s">
        <v>30</v>
      </c>
      <c r="U288" s="51" t="s">
        <v>36</v>
      </c>
      <c r="V288" s="72" t="s">
        <v>30</v>
      </c>
      <c r="W288" s="102" t="s">
        <v>401</v>
      </c>
      <c r="X288" s="72" t="s">
        <v>33</v>
      </c>
      <c r="Y288" s="51" t="str">
        <f t="shared" si="4"/>
        <v>260301_NDX551406_RUO_0341_AXXXXXXXXX</v>
      </c>
      <c r="Z288" s="51" t="s">
        <v>38</v>
      </c>
      <c r="AA288" s="51" t="s">
        <v>39</v>
      </c>
      <c r="AB288" s="26"/>
      <c r="AC288" s="26"/>
    </row>
    <row r="289" ht="28" spans="1:29">
      <c r="A289" s="26"/>
      <c r="B289" s="26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>
        <v>260301</v>
      </c>
      <c r="T289" s="59" t="s">
        <v>30</v>
      </c>
      <c r="U289" s="51" t="s">
        <v>92</v>
      </c>
      <c r="V289" s="72" t="s">
        <v>30</v>
      </c>
      <c r="W289" s="103" t="s">
        <v>201</v>
      </c>
      <c r="X289" s="72" t="s">
        <v>33</v>
      </c>
      <c r="Y289" s="51" t="str">
        <f t="shared" si="4"/>
        <v>260301_NDX550598_RUO_0109_AXXXXXXXXX</v>
      </c>
      <c r="Z289" s="51" t="s">
        <v>94</v>
      </c>
      <c r="AA289" s="51" t="s">
        <v>39</v>
      </c>
      <c r="AB289" s="26"/>
      <c r="AC289" s="26"/>
    </row>
    <row r="290" ht="28" spans="1:29">
      <c r="A290" s="26"/>
      <c r="B290" s="26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>
        <v>260301</v>
      </c>
      <c r="T290" s="59" t="s">
        <v>30</v>
      </c>
      <c r="U290" s="51" t="s">
        <v>95</v>
      </c>
      <c r="V290" s="72" t="s">
        <v>30</v>
      </c>
      <c r="W290" s="103" t="s">
        <v>338</v>
      </c>
      <c r="X290" s="72" t="s">
        <v>33</v>
      </c>
      <c r="Y290" s="51" t="str">
        <f t="shared" si="4"/>
        <v>260301_NDX550778_RUO_0132_AXXXXXXXXX</v>
      </c>
      <c r="Z290" s="51" t="s">
        <v>97</v>
      </c>
      <c r="AA290" s="51" t="s">
        <v>39</v>
      </c>
      <c r="AB290" s="26"/>
      <c r="AC290" s="26"/>
    </row>
    <row r="291" ht="28" spans="1:29">
      <c r="A291" s="26"/>
      <c r="B291" s="26"/>
      <c r="C291" s="59" t="s">
        <v>364</v>
      </c>
      <c r="D291" s="59" t="s">
        <v>242</v>
      </c>
      <c r="E291" s="59" t="s">
        <v>364</v>
      </c>
      <c r="F291" s="59" t="s">
        <v>242</v>
      </c>
      <c r="G291" s="59" t="s">
        <v>365</v>
      </c>
      <c r="H291" s="59" t="s">
        <v>242</v>
      </c>
      <c r="I291" s="59" t="s">
        <v>402</v>
      </c>
      <c r="J291" s="59" t="s">
        <v>73</v>
      </c>
      <c r="K291" s="59" t="s">
        <v>403</v>
      </c>
      <c r="L291" s="59" t="s">
        <v>77</v>
      </c>
      <c r="M291" s="59" t="s">
        <v>404</v>
      </c>
      <c r="N291" s="59" t="s">
        <v>77</v>
      </c>
      <c r="O291" s="69" t="s">
        <v>405</v>
      </c>
      <c r="P291" s="59" t="s">
        <v>81</v>
      </c>
      <c r="Q291" s="59"/>
      <c r="R291" s="59" t="s">
        <v>406</v>
      </c>
      <c r="S291" s="59">
        <v>260302</v>
      </c>
      <c r="T291" s="59" t="s">
        <v>30</v>
      </c>
      <c r="U291" s="51" t="s">
        <v>31</v>
      </c>
      <c r="V291" s="72" t="s">
        <v>30</v>
      </c>
      <c r="W291" s="102" t="s">
        <v>407</v>
      </c>
      <c r="X291" s="72" t="s">
        <v>33</v>
      </c>
      <c r="Y291" s="51" t="str">
        <f t="shared" si="4"/>
        <v>260302_TPNB500477_0224_AXXXXXXXXX</v>
      </c>
      <c r="Z291" s="51" t="s">
        <v>34</v>
      </c>
      <c r="AA291" s="51" t="s">
        <v>35</v>
      </c>
      <c r="AB291" s="26"/>
      <c r="AC291" s="26"/>
    </row>
    <row r="292" ht="28" spans="1:29">
      <c r="A292" s="26"/>
      <c r="B292" s="26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>
        <v>260302</v>
      </c>
      <c r="T292" s="59" t="s">
        <v>30</v>
      </c>
      <c r="U292" s="51" t="s">
        <v>85</v>
      </c>
      <c r="V292" s="72" t="s">
        <v>30</v>
      </c>
      <c r="W292" s="74" t="s">
        <v>348</v>
      </c>
      <c r="X292" s="72" t="s">
        <v>33</v>
      </c>
      <c r="Y292" s="51" t="str">
        <f t="shared" si="4"/>
        <v>260302_TPNB500597_0149_AXXXXXXXXX</v>
      </c>
      <c r="Z292" s="51" t="s">
        <v>87</v>
      </c>
      <c r="AA292" s="51" t="s">
        <v>35</v>
      </c>
      <c r="AB292" s="26"/>
      <c r="AC292" s="26"/>
    </row>
    <row r="293" ht="28" spans="1:29">
      <c r="A293" s="26"/>
      <c r="B293" s="26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>
        <v>260302</v>
      </c>
      <c r="T293" s="59" t="s">
        <v>30</v>
      </c>
      <c r="U293" s="51" t="s">
        <v>88</v>
      </c>
      <c r="V293" s="72" t="s">
        <v>30</v>
      </c>
      <c r="W293" s="40" t="s">
        <v>146</v>
      </c>
      <c r="X293" s="72" t="s">
        <v>33</v>
      </c>
      <c r="Y293" s="51" t="str">
        <f t="shared" si="4"/>
        <v>260302_TPNB500641_0159_AXXXXXXXXX</v>
      </c>
      <c r="Z293" s="51" t="s">
        <v>90</v>
      </c>
      <c r="AA293" s="51" t="s">
        <v>35</v>
      </c>
      <c r="AB293" s="26"/>
      <c r="AC293" s="26"/>
    </row>
    <row r="294" ht="28" spans="1:29">
      <c r="A294" s="26"/>
      <c r="B294" s="26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>
        <v>260302</v>
      </c>
      <c r="T294" s="59" t="s">
        <v>30</v>
      </c>
      <c r="U294" s="51" t="s">
        <v>36</v>
      </c>
      <c r="V294" s="72" t="s">
        <v>30</v>
      </c>
      <c r="W294" s="102" t="s">
        <v>408</v>
      </c>
      <c r="X294" s="72" t="s">
        <v>33</v>
      </c>
      <c r="Y294" s="51" t="str">
        <f t="shared" si="4"/>
        <v>260302_NDX551406_RUO_0342_AXXXXXXXXX</v>
      </c>
      <c r="Z294" s="51" t="s">
        <v>38</v>
      </c>
      <c r="AA294" s="51" t="s">
        <v>39</v>
      </c>
      <c r="AB294" s="26"/>
      <c r="AC294" s="26"/>
    </row>
    <row r="295" ht="28" spans="1:29">
      <c r="A295" s="26"/>
      <c r="B295" s="26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>
        <v>260302</v>
      </c>
      <c r="T295" s="59" t="s">
        <v>30</v>
      </c>
      <c r="U295" s="51" t="s">
        <v>92</v>
      </c>
      <c r="V295" s="72" t="s">
        <v>30</v>
      </c>
      <c r="W295" s="103" t="s">
        <v>200</v>
      </c>
      <c r="X295" s="72" t="s">
        <v>33</v>
      </c>
      <c r="Y295" s="51" t="str">
        <f t="shared" si="4"/>
        <v>260302_NDX550598_RUO_0110_AXXXXXXXXX</v>
      </c>
      <c r="Z295" s="51" t="s">
        <v>94</v>
      </c>
      <c r="AA295" s="51" t="s">
        <v>39</v>
      </c>
      <c r="AB295" s="26"/>
      <c r="AC295" s="26"/>
    </row>
    <row r="296" ht="28" spans="1:29">
      <c r="A296" s="26"/>
      <c r="B296" s="26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>
        <v>260302</v>
      </c>
      <c r="T296" s="59" t="s">
        <v>30</v>
      </c>
      <c r="U296" s="51" t="s">
        <v>95</v>
      </c>
      <c r="V296" s="72" t="s">
        <v>30</v>
      </c>
      <c r="W296" s="103" t="s">
        <v>347</v>
      </c>
      <c r="X296" s="72" t="s">
        <v>33</v>
      </c>
      <c r="Y296" s="51" t="str">
        <f t="shared" si="4"/>
        <v>260302_NDX550778_RUO_0133_AXXXXXXXXX</v>
      </c>
      <c r="Z296" s="51" t="s">
        <v>97</v>
      </c>
      <c r="AA296" s="51" t="s">
        <v>39</v>
      </c>
      <c r="AB296" s="26"/>
      <c r="AC296" s="26"/>
    </row>
    <row r="297" ht="28" spans="1:29">
      <c r="A297" s="26"/>
      <c r="B297" s="26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>
        <v>260302</v>
      </c>
      <c r="T297" s="59" t="s">
        <v>30</v>
      </c>
      <c r="U297" s="26" t="s">
        <v>98</v>
      </c>
      <c r="V297" s="72" t="s">
        <v>30</v>
      </c>
      <c r="W297" s="102" t="s">
        <v>409</v>
      </c>
      <c r="X297" s="72" t="s">
        <v>33</v>
      </c>
      <c r="Y297" s="51" t="str">
        <f t="shared" si="4"/>
        <v>260302_TPNB500657_0158_AXXXXXXXXX</v>
      </c>
      <c r="Z297" s="51" t="s">
        <v>100</v>
      </c>
      <c r="AA297" s="51" t="s">
        <v>35</v>
      </c>
      <c r="AB297" s="26"/>
      <c r="AC297" s="26"/>
    </row>
    <row r="298" ht="28" spans="1:29">
      <c r="A298" s="26"/>
      <c r="B298" s="26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>
        <v>260302</v>
      </c>
      <c r="T298" s="59" t="s">
        <v>30</v>
      </c>
      <c r="U298" s="26" t="s">
        <v>101</v>
      </c>
      <c r="V298" s="72" t="s">
        <v>30</v>
      </c>
      <c r="W298" s="107" t="s">
        <v>146</v>
      </c>
      <c r="X298" s="72" t="s">
        <v>33</v>
      </c>
      <c r="Y298" s="51" t="str">
        <f t="shared" si="4"/>
        <v>260302_TPNB500530_0159_AXXXXXXXXX</v>
      </c>
      <c r="Z298" s="51" t="s">
        <v>103</v>
      </c>
      <c r="AA298" s="51" t="s">
        <v>35</v>
      </c>
      <c r="AB298" s="26"/>
      <c r="AC298" s="26"/>
    </row>
    <row r="299" ht="28" spans="1:29">
      <c r="A299" s="26"/>
      <c r="B299" s="26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>
        <v>260302</v>
      </c>
      <c r="T299" s="59" t="s">
        <v>30</v>
      </c>
      <c r="U299" s="26" t="s">
        <v>104</v>
      </c>
      <c r="V299" s="72" t="s">
        <v>30</v>
      </c>
      <c r="W299" s="104" t="s">
        <v>348</v>
      </c>
      <c r="X299" s="72" t="s">
        <v>33</v>
      </c>
      <c r="Y299" s="51" t="str">
        <f t="shared" si="4"/>
        <v>260302_TPNB500560_0149_AXXXXXXXXX</v>
      </c>
      <c r="Z299" s="51" t="s">
        <v>106</v>
      </c>
      <c r="AA299" s="51" t="s">
        <v>35</v>
      </c>
      <c r="AB299" s="26"/>
      <c r="AC299" s="26"/>
    </row>
    <row r="300" ht="28" spans="1:29">
      <c r="A300" s="26"/>
      <c r="B300" s="26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>
        <v>260302</v>
      </c>
      <c r="T300" s="59" t="s">
        <v>30</v>
      </c>
      <c r="U300" s="51" t="s">
        <v>36</v>
      </c>
      <c r="V300" s="72" t="s">
        <v>30</v>
      </c>
      <c r="W300" s="102" t="s">
        <v>410</v>
      </c>
      <c r="X300" s="72" t="s">
        <v>33</v>
      </c>
      <c r="Y300" s="51" t="str">
        <f t="shared" si="4"/>
        <v>260302_NDX551406_RUO_0343_AXXXXXXXXX</v>
      </c>
      <c r="Z300" s="51" t="s">
        <v>38</v>
      </c>
      <c r="AA300" s="51" t="s">
        <v>39</v>
      </c>
      <c r="AB300" s="26"/>
      <c r="AC300" s="26"/>
    </row>
    <row r="301" ht="28" spans="1:29">
      <c r="A301" s="26"/>
      <c r="B301" s="26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>
        <v>260302</v>
      </c>
      <c r="T301" s="59" t="s">
        <v>30</v>
      </c>
      <c r="U301" s="51" t="s">
        <v>92</v>
      </c>
      <c r="V301" s="72" t="s">
        <v>30</v>
      </c>
      <c r="W301" s="103" t="s">
        <v>213</v>
      </c>
      <c r="X301" s="72" t="s">
        <v>33</v>
      </c>
      <c r="Y301" s="51" t="str">
        <f t="shared" si="4"/>
        <v>260302_NDX550598_RUO_0111_AXXXXXXXXX</v>
      </c>
      <c r="Z301" s="51" t="s">
        <v>94</v>
      </c>
      <c r="AA301" s="51" t="s">
        <v>39</v>
      </c>
      <c r="AB301" s="26"/>
      <c r="AC301" s="26"/>
    </row>
    <row r="302" ht="28" spans="1:29">
      <c r="A302" s="26"/>
      <c r="B302" s="26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>
        <v>260302</v>
      </c>
      <c r="T302" s="59" t="s">
        <v>30</v>
      </c>
      <c r="U302" s="51" t="s">
        <v>95</v>
      </c>
      <c r="V302" s="72" t="s">
        <v>30</v>
      </c>
      <c r="W302" s="103" t="s">
        <v>351</v>
      </c>
      <c r="X302" s="72" t="s">
        <v>33</v>
      </c>
      <c r="Y302" s="51" t="str">
        <f t="shared" si="4"/>
        <v>260302_NDX550778_RUO_0134_AXXXXXXXXX</v>
      </c>
      <c r="Z302" s="51" t="s">
        <v>97</v>
      </c>
      <c r="AA302" s="51" t="s">
        <v>39</v>
      </c>
      <c r="AB302" s="26"/>
      <c r="AC302" s="26"/>
    </row>
    <row r="303" ht="28" spans="1:29">
      <c r="A303" s="26"/>
      <c r="B303" s="26"/>
      <c r="C303" s="59" t="s">
        <v>364</v>
      </c>
      <c r="D303" s="59" t="s">
        <v>242</v>
      </c>
      <c r="E303" s="59" t="s">
        <v>364</v>
      </c>
      <c r="F303" s="59" t="s">
        <v>242</v>
      </c>
      <c r="G303" s="59" t="s">
        <v>365</v>
      </c>
      <c r="H303" s="59" t="s">
        <v>242</v>
      </c>
      <c r="I303" s="59" t="s">
        <v>411</v>
      </c>
      <c r="J303" s="59" t="s">
        <v>73</v>
      </c>
      <c r="K303" s="59" t="s">
        <v>412</v>
      </c>
      <c r="L303" s="59" t="s">
        <v>77</v>
      </c>
      <c r="M303" s="59" t="s">
        <v>413</v>
      </c>
      <c r="N303" s="59" t="s">
        <v>77</v>
      </c>
      <c r="O303" s="69" t="s">
        <v>414</v>
      </c>
      <c r="P303" s="59" t="s">
        <v>81</v>
      </c>
      <c r="Q303" s="59"/>
      <c r="R303" s="59" t="s">
        <v>415</v>
      </c>
      <c r="S303" s="59">
        <v>260303</v>
      </c>
      <c r="T303" s="59" t="s">
        <v>30</v>
      </c>
      <c r="U303" s="51" t="s">
        <v>31</v>
      </c>
      <c r="V303" s="72" t="s">
        <v>30</v>
      </c>
      <c r="W303" s="102" t="s">
        <v>416</v>
      </c>
      <c r="X303" s="72" t="s">
        <v>33</v>
      </c>
      <c r="Y303" s="51" t="str">
        <f t="shared" si="4"/>
        <v>260303_TPNB500477_0226_AXXXXXXXXX</v>
      </c>
      <c r="Z303" s="51" t="s">
        <v>34</v>
      </c>
      <c r="AA303" s="51" t="s">
        <v>35</v>
      </c>
      <c r="AB303" s="26"/>
      <c r="AC303" s="26"/>
    </row>
    <row r="304" ht="28" spans="1:29">
      <c r="A304" s="26"/>
      <c r="B304" s="26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>
        <v>260303</v>
      </c>
      <c r="T304" s="59" t="s">
        <v>30</v>
      </c>
      <c r="U304" s="51" t="s">
        <v>85</v>
      </c>
      <c r="V304" s="72" t="s">
        <v>30</v>
      </c>
      <c r="W304" s="74" t="s">
        <v>360</v>
      </c>
      <c r="X304" s="72" t="s">
        <v>33</v>
      </c>
      <c r="Y304" s="51" t="str">
        <f t="shared" si="4"/>
        <v>260303_TPNB500597_0151_AXXXXXXXXX</v>
      </c>
      <c r="Z304" s="51" t="s">
        <v>87</v>
      </c>
      <c r="AA304" s="51" t="s">
        <v>35</v>
      </c>
      <c r="AB304" s="26"/>
      <c r="AC304" s="26"/>
    </row>
    <row r="305" ht="28" spans="1:29">
      <c r="A305" s="26"/>
      <c r="B305" s="26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>
        <v>260303</v>
      </c>
      <c r="T305" s="59" t="s">
        <v>30</v>
      </c>
      <c r="U305" s="51" t="s">
        <v>88</v>
      </c>
      <c r="V305" s="72" t="s">
        <v>30</v>
      </c>
      <c r="W305" s="40" t="s">
        <v>161</v>
      </c>
      <c r="X305" s="72" t="s">
        <v>33</v>
      </c>
      <c r="Y305" s="51" t="str">
        <f t="shared" si="4"/>
        <v>260303_TPNB500641_0161_AXXXXXXXXX</v>
      </c>
      <c r="Z305" s="51" t="s">
        <v>90</v>
      </c>
      <c r="AA305" s="51" t="s">
        <v>35</v>
      </c>
      <c r="AB305" s="26"/>
      <c r="AC305" s="26"/>
    </row>
    <row r="306" ht="28" spans="1:29">
      <c r="A306" s="26"/>
      <c r="B306" s="26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>
        <v>260303</v>
      </c>
      <c r="T306" s="59" t="s">
        <v>30</v>
      </c>
      <c r="U306" s="51" t="s">
        <v>36</v>
      </c>
      <c r="V306" s="72" t="s">
        <v>30</v>
      </c>
      <c r="W306" s="102" t="s">
        <v>417</v>
      </c>
      <c r="X306" s="72" t="s">
        <v>33</v>
      </c>
      <c r="Y306" s="51" t="str">
        <f t="shared" si="4"/>
        <v>260303_NDX551406_RUO_0344_AXXXXXXXXX</v>
      </c>
      <c r="Z306" s="51" t="s">
        <v>38</v>
      </c>
      <c r="AA306" s="51" t="s">
        <v>39</v>
      </c>
      <c r="AB306" s="26"/>
      <c r="AC306" s="26"/>
    </row>
    <row r="307" ht="28" spans="1:29">
      <c r="A307" s="26"/>
      <c r="B307" s="26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>
        <v>260303</v>
      </c>
      <c r="T307" s="59" t="s">
        <v>30</v>
      </c>
      <c r="U307" s="51" t="s">
        <v>92</v>
      </c>
      <c r="V307" s="72" t="s">
        <v>30</v>
      </c>
      <c r="W307" s="103" t="s">
        <v>212</v>
      </c>
      <c r="X307" s="72" t="s">
        <v>33</v>
      </c>
      <c r="Y307" s="51" t="str">
        <f t="shared" si="4"/>
        <v>260303_NDX550598_RUO_0112_AXXXXXXXXX</v>
      </c>
      <c r="Z307" s="51" t="s">
        <v>94</v>
      </c>
      <c r="AA307" s="51" t="s">
        <v>39</v>
      </c>
      <c r="AB307" s="26"/>
      <c r="AC307" s="26"/>
    </row>
    <row r="308" ht="28" spans="1:29">
      <c r="A308" s="26"/>
      <c r="B308" s="26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>
        <v>260303</v>
      </c>
      <c r="T308" s="59" t="s">
        <v>30</v>
      </c>
      <c r="U308" s="51" t="s">
        <v>95</v>
      </c>
      <c r="V308" s="72" t="s">
        <v>30</v>
      </c>
      <c r="W308" s="103" t="s">
        <v>359</v>
      </c>
      <c r="X308" s="72" t="s">
        <v>33</v>
      </c>
      <c r="Y308" s="51" t="str">
        <f t="shared" si="4"/>
        <v>260303_NDX550778_RUO_0135_AXXXXXXXXX</v>
      </c>
      <c r="Z308" s="51" t="s">
        <v>97</v>
      </c>
      <c r="AA308" s="51" t="s">
        <v>39</v>
      </c>
      <c r="AB308" s="26"/>
      <c r="AC308" s="26"/>
    </row>
    <row r="309" ht="28" spans="1:29">
      <c r="A309" s="26"/>
      <c r="B309" s="26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>
        <v>260303</v>
      </c>
      <c r="T309" s="59" t="s">
        <v>30</v>
      </c>
      <c r="U309" s="26" t="s">
        <v>98</v>
      </c>
      <c r="V309" s="72" t="s">
        <v>30</v>
      </c>
      <c r="W309" s="102" t="s">
        <v>418</v>
      </c>
      <c r="X309" s="72" t="s">
        <v>33</v>
      </c>
      <c r="Y309" s="51" t="str">
        <f t="shared" si="4"/>
        <v>260303_TPNB500657_0160_AXXXXXXXXX</v>
      </c>
      <c r="Z309" s="51" t="s">
        <v>100</v>
      </c>
      <c r="AA309" s="51" t="s">
        <v>35</v>
      </c>
      <c r="AB309" s="26"/>
      <c r="AC309" s="26"/>
    </row>
    <row r="310" ht="28" spans="1:29">
      <c r="A310" s="26"/>
      <c r="B310" s="26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>
        <v>260303</v>
      </c>
      <c r="T310" s="59" t="s">
        <v>30</v>
      </c>
      <c r="U310" s="26" t="s">
        <v>101</v>
      </c>
      <c r="V310" s="72" t="s">
        <v>30</v>
      </c>
      <c r="W310" s="107" t="s">
        <v>161</v>
      </c>
      <c r="X310" s="72" t="s">
        <v>33</v>
      </c>
      <c r="Y310" s="51" t="str">
        <f t="shared" si="4"/>
        <v>260303_TPNB500530_0161_AXXXXXXXXX</v>
      </c>
      <c r="Z310" s="51" t="s">
        <v>103</v>
      </c>
      <c r="AA310" s="51" t="s">
        <v>35</v>
      </c>
      <c r="AB310" s="26"/>
      <c r="AC310" s="26"/>
    </row>
    <row r="311" ht="28" spans="1:29">
      <c r="A311" s="26"/>
      <c r="B311" s="26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>
        <v>260303</v>
      </c>
      <c r="T311" s="59" t="s">
        <v>30</v>
      </c>
      <c r="U311" s="26" t="s">
        <v>104</v>
      </c>
      <c r="V311" s="72" t="s">
        <v>30</v>
      </c>
      <c r="W311" s="104" t="s">
        <v>360</v>
      </c>
      <c r="X311" s="72" t="s">
        <v>33</v>
      </c>
      <c r="Y311" s="51" t="str">
        <f t="shared" si="4"/>
        <v>260303_TPNB500560_0151_AXXXXXXXXX</v>
      </c>
      <c r="Z311" s="51" t="s">
        <v>106</v>
      </c>
      <c r="AA311" s="51" t="s">
        <v>35</v>
      </c>
      <c r="AB311" s="26"/>
      <c r="AC311" s="26"/>
    </row>
    <row r="312" ht="28" spans="1:29">
      <c r="A312" s="26"/>
      <c r="B312" s="26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>
        <v>260303</v>
      </c>
      <c r="T312" s="59" t="s">
        <v>30</v>
      </c>
      <c r="U312" s="51" t="s">
        <v>36</v>
      </c>
      <c r="V312" s="72" t="s">
        <v>30</v>
      </c>
      <c r="W312" s="102" t="s">
        <v>419</v>
      </c>
      <c r="X312" s="72" t="s">
        <v>33</v>
      </c>
      <c r="Y312" s="51" t="str">
        <f t="shared" si="4"/>
        <v>260303_NDX551406_RUO_0345_AXXXXXXXXX</v>
      </c>
      <c r="Z312" s="51" t="s">
        <v>38</v>
      </c>
      <c r="AA312" s="51" t="s">
        <v>39</v>
      </c>
      <c r="AB312" s="26"/>
      <c r="AC312" s="26"/>
    </row>
    <row r="313" ht="28" spans="1:29">
      <c r="A313" s="26"/>
      <c r="B313" s="26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>
        <v>260303</v>
      </c>
      <c r="T313" s="59" t="s">
        <v>30</v>
      </c>
      <c r="U313" s="51" t="s">
        <v>92</v>
      </c>
      <c r="V313" s="72" t="s">
        <v>30</v>
      </c>
      <c r="W313" s="103" t="s">
        <v>223</v>
      </c>
      <c r="X313" s="72" t="s">
        <v>33</v>
      </c>
      <c r="Y313" s="51" t="str">
        <f t="shared" si="4"/>
        <v>260303_NDX550598_RUO_0113_AXXXXXXXXX</v>
      </c>
      <c r="Z313" s="51" t="s">
        <v>94</v>
      </c>
      <c r="AA313" s="51" t="s">
        <v>39</v>
      </c>
      <c r="AB313" s="26"/>
      <c r="AC313" s="26"/>
    </row>
    <row r="314" ht="28" spans="1:29">
      <c r="A314" s="26"/>
      <c r="B314" s="26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>
        <v>260303</v>
      </c>
      <c r="T314" s="59" t="s">
        <v>30</v>
      </c>
      <c r="U314" s="51" t="s">
        <v>95</v>
      </c>
      <c r="V314" s="72" t="s">
        <v>30</v>
      </c>
      <c r="W314" s="103" t="s">
        <v>362</v>
      </c>
      <c r="X314" s="72" t="s">
        <v>33</v>
      </c>
      <c r="Y314" s="51" t="str">
        <f t="shared" si="4"/>
        <v>260303_NDX550778_RUO_0136_AXXXXXXXXX</v>
      </c>
      <c r="Z314" s="51" t="s">
        <v>97</v>
      </c>
      <c r="AA314" s="51" t="s">
        <v>39</v>
      </c>
      <c r="AB314" s="26"/>
      <c r="AC314" s="26"/>
    </row>
    <row r="315" ht="20" customHeight="1" spans="1:29">
      <c r="A315" s="26"/>
      <c r="B315" s="26"/>
      <c r="C315" s="59" t="s">
        <v>364</v>
      </c>
      <c r="D315" s="59" t="s">
        <v>242</v>
      </c>
      <c r="E315" s="59" t="s">
        <v>364</v>
      </c>
      <c r="F315" s="59" t="s">
        <v>242</v>
      </c>
      <c r="G315" s="59" t="s">
        <v>365</v>
      </c>
      <c r="H315" s="59" t="s">
        <v>242</v>
      </c>
      <c r="I315" s="59" t="s">
        <v>420</v>
      </c>
      <c r="J315" s="59" t="s">
        <v>73</v>
      </c>
      <c r="K315" s="59" t="s">
        <v>421</v>
      </c>
      <c r="L315" s="59" t="s">
        <v>77</v>
      </c>
      <c r="M315" s="59" t="s">
        <v>422</v>
      </c>
      <c r="N315" s="59" t="s">
        <v>77</v>
      </c>
      <c r="O315" s="64" t="s">
        <v>423</v>
      </c>
      <c r="P315" s="59" t="s">
        <v>81</v>
      </c>
      <c r="Q315" s="59"/>
      <c r="R315" s="59" t="s">
        <v>424</v>
      </c>
      <c r="S315" s="59">
        <v>260304</v>
      </c>
      <c r="T315" s="59" t="s">
        <v>30</v>
      </c>
      <c r="U315" s="51" t="s">
        <v>31</v>
      </c>
      <c r="V315" s="72" t="s">
        <v>30</v>
      </c>
      <c r="W315" s="102" t="s">
        <v>425</v>
      </c>
      <c r="X315" s="72" t="s">
        <v>33</v>
      </c>
      <c r="Y315" s="51" t="str">
        <f t="shared" si="4"/>
        <v>260304_TPNB500477_0228_AXXXXXXXXX</v>
      </c>
      <c r="Z315" s="51" t="s">
        <v>34</v>
      </c>
      <c r="AA315" s="51" t="s">
        <v>35</v>
      </c>
      <c r="AB315" s="26"/>
      <c r="AC315" s="26"/>
    </row>
    <row r="316" ht="20" customHeight="1" spans="1:29">
      <c r="A316" s="26"/>
      <c r="B316" s="26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66"/>
      <c r="P316" s="59"/>
      <c r="Q316" s="59"/>
      <c r="R316" s="59"/>
      <c r="S316" s="59">
        <v>260304</v>
      </c>
      <c r="T316" s="59" t="s">
        <v>30</v>
      </c>
      <c r="U316" s="51" t="s">
        <v>85</v>
      </c>
      <c r="V316" s="72" t="s">
        <v>30</v>
      </c>
      <c r="W316" s="86" t="s">
        <v>84</v>
      </c>
      <c r="X316" s="72" t="s">
        <v>33</v>
      </c>
      <c r="Y316" s="51" t="str">
        <f t="shared" si="4"/>
        <v>260304_TPNB500597_0153_AXXXXXXXXX</v>
      </c>
      <c r="Z316" s="51" t="s">
        <v>87</v>
      </c>
      <c r="AA316" s="51" t="s">
        <v>35</v>
      </c>
      <c r="AB316" s="26"/>
      <c r="AC316" s="26"/>
    </row>
    <row r="317" ht="20" customHeight="1" spans="1:29">
      <c r="A317" s="26"/>
      <c r="B317" s="26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66"/>
      <c r="P317" s="59"/>
      <c r="Q317" s="59"/>
      <c r="R317" s="59"/>
      <c r="S317" s="59">
        <v>260304</v>
      </c>
      <c r="T317" s="59" t="s">
        <v>30</v>
      </c>
      <c r="U317" s="51" t="s">
        <v>88</v>
      </c>
      <c r="V317" s="72" t="s">
        <v>30</v>
      </c>
      <c r="W317" s="85" t="s">
        <v>173</v>
      </c>
      <c r="X317" s="72" t="s">
        <v>33</v>
      </c>
      <c r="Y317" s="51" t="str">
        <f t="shared" si="4"/>
        <v>260304_TPNB500641_0163_AXXXXXXXXX</v>
      </c>
      <c r="Z317" s="51" t="s">
        <v>90</v>
      </c>
      <c r="AA317" s="51" t="s">
        <v>35</v>
      </c>
      <c r="AB317" s="26"/>
      <c r="AC317" s="26"/>
    </row>
    <row r="318" ht="20" customHeight="1" spans="1:29">
      <c r="A318" s="26"/>
      <c r="B318" s="26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66"/>
      <c r="P318" s="59"/>
      <c r="Q318" s="59"/>
      <c r="R318" s="59"/>
      <c r="S318" s="59">
        <v>260304</v>
      </c>
      <c r="T318" s="59" t="s">
        <v>30</v>
      </c>
      <c r="U318" s="51" t="s">
        <v>36</v>
      </c>
      <c r="V318" s="72" t="s">
        <v>30</v>
      </c>
      <c r="W318" s="102" t="s">
        <v>426</v>
      </c>
      <c r="X318" s="72" t="s">
        <v>33</v>
      </c>
      <c r="Y318" s="51" t="str">
        <f t="shared" si="4"/>
        <v>260304_NDX551406_RUO_0346_AXXXXXXXXX</v>
      </c>
      <c r="Z318" s="51" t="s">
        <v>38</v>
      </c>
      <c r="AA318" s="51" t="s">
        <v>39</v>
      </c>
      <c r="AB318" s="26"/>
      <c r="AC318" s="26"/>
    </row>
    <row r="319" ht="20" customHeight="1" spans="1:29">
      <c r="A319" s="26"/>
      <c r="B319" s="26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66"/>
      <c r="P319" s="59"/>
      <c r="Q319" s="59"/>
      <c r="R319" s="59"/>
      <c r="S319" s="59">
        <v>260304</v>
      </c>
      <c r="T319" s="59" t="s">
        <v>30</v>
      </c>
      <c r="U319" s="51" t="s">
        <v>92</v>
      </c>
      <c r="V319" s="72" t="s">
        <v>30</v>
      </c>
      <c r="W319" s="101" t="s">
        <v>222</v>
      </c>
      <c r="X319" s="72" t="s">
        <v>33</v>
      </c>
      <c r="Y319" s="51" t="str">
        <f t="shared" si="4"/>
        <v>260304_NDX550598_RUO_0114_AXXXXXXXXX</v>
      </c>
      <c r="Z319" s="51" t="s">
        <v>94</v>
      </c>
      <c r="AA319" s="51" t="s">
        <v>39</v>
      </c>
      <c r="AB319" s="26"/>
      <c r="AC319" s="26"/>
    </row>
    <row r="320" ht="20" customHeight="1" spans="1:29">
      <c r="A320" s="26"/>
      <c r="B320" s="26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66"/>
      <c r="P320" s="59"/>
      <c r="Q320" s="59"/>
      <c r="R320" s="59"/>
      <c r="S320" s="59">
        <v>260304</v>
      </c>
      <c r="T320" s="59" t="s">
        <v>30</v>
      </c>
      <c r="U320" s="51" t="s">
        <v>95</v>
      </c>
      <c r="V320" s="72" t="s">
        <v>30</v>
      </c>
      <c r="W320" s="101" t="s">
        <v>427</v>
      </c>
      <c r="X320" s="72" t="s">
        <v>33</v>
      </c>
      <c r="Y320" s="51" t="str">
        <f t="shared" si="4"/>
        <v>260304_NDX550778_RUO_0137_AXXXXXXXXX</v>
      </c>
      <c r="Z320" s="51" t="s">
        <v>97</v>
      </c>
      <c r="AA320" s="51" t="s">
        <v>39</v>
      </c>
      <c r="AB320" s="26"/>
      <c r="AC320" s="26"/>
    </row>
    <row r="321" ht="20" customHeight="1" spans="1:29">
      <c r="A321" s="26"/>
      <c r="B321" s="26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66"/>
      <c r="P321" s="59"/>
      <c r="Q321" s="59"/>
      <c r="R321" s="59"/>
      <c r="S321" s="59">
        <v>260304</v>
      </c>
      <c r="T321" s="59" t="s">
        <v>30</v>
      </c>
      <c r="U321" s="26" t="s">
        <v>98</v>
      </c>
      <c r="V321" s="72" t="s">
        <v>30</v>
      </c>
      <c r="W321" s="102" t="s">
        <v>428</v>
      </c>
      <c r="X321" s="72" t="s">
        <v>33</v>
      </c>
      <c r="Y321" s="51" t="str">
        <f t="shared" si="4"/>
        <v>260304_TPNB500657_0162_AXXXXXXXXX</v>
      </c>
      <c r="Z321" s="51" t="s">
        <v>100</v>
      </c>
      <c r="AA321" s="51" t="s">
        <v>35</v>
      </c>
      <c r="AB321" s="26"/>
      <c r="AC321" s="26"/>
    </row>
    <row r="322" ht="20" customHeight="1" spans="1:29">
      <c r="A322" s="26"/>
      <c r="B322" s="26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66"/>
      <c r="P322" s="59"/>
      <c r="Q322" s="59"/>
      <c r="R322" s="59"/>
      <c r="S322" s="59">
        <v>260304</v>
      </c>
      <c r="T322" s="59" t="s">
        <v>30</v>
      </c>
      <c r="U322" s="51" t="s">
        <v>36</v>
      </c>
      <c r="V322" s="72" t="s">
        <v>30</v>
      </c>
      <c r="W322" s="102" t="s">
        <v>429</v>
      </c>
      <c r="X322" s="72" t="s">
        <v>33</v>
      </c>
      <c r="Y322" s="51" t="str">
        <f t="shared" ref="Y322:Y385" si="5">S322&amp;T322&amp;U322&amp;V322&amp;W322&amp;X322</f>
        <v>260304_NDX551406_RUO_0347_AXXXXXXXXX</v>
      </c>
      <c r="Z322" s="51" t="s">
        <v>38</v>
      </c>
      <c r="AA322" s="51" t="s">
        <v>39</v>
      </c>
      <c r="AB322" s="26"/>
      <c r="AC322" s="26"/>
    </row>
    <row r="323" ht="12" customHeight="1" spans="1:29">
      <c r="A323" s="26"/>
      <c r="B323" s="26"/>
      <c r="C323" s="59" t="s">
        <v>415</v>
      </c>
      <c r="D323" s="59" t="s">
        <v>242</v>
      </c>
      <c r="E323" s="59" t="s">
        <v>415</v>
      </c>
      <c r="F323" s="59" t="s">
        <v>242</v>
      </c>
      <c r="G323" s="59" t="s">
        <v>424</v>
      </c>
      <c r="H323" s="59" t="s">
        <v>242</v>
      </c>
      <c r="I323" s="59" t="s">
        <v>430</v>
      </c>
      <c r="J323" s="59" t="s">
        <v>73</v>
      </c>
      <c r="K323" s="59" t="s">
        <v>431</v>
      </c>
      <c r="L323" s="59" t="s">
        <v>77</v>
      </c>
      <c r="M323" s="59" t="s">
        <v>432</v>
      </c>
      <c r="N323" s="59" t="s">
        <v>77</v>
      </c>
      <c r="O323" s="69" t="s">
        <v>433</v>
      </c>
      <c r="P323" s="59" t="s">
        <v>81</v>
      </c>
      <c r="Q323" s="71" t="s">
        <v>434</v>
      </c>
      <c r="R323" s="59" t="s">
        <v>435</v>
      </c>
      <c r="S323" s="59">
        <v>260305</v>
      </c>
      <c r="T323" s="59" t="s">
        <v>30</v>
      </c>
      <c r="U323" s="51" t="s">
        <v>31</v>
      </c>
      <c r="V323" s="72" t="s">
        <v>30</v>
      </c>
      <c r="W323" s="102" t="s">
        <v>436</v>
      </c>
      <c r="X323" s="72" t="s">
        <v>33</v>
      </c>
      <c r="Y323" s="51" t="str">
        <f t="shared" si="5"/>
        <v>260305_TPNB500477_0230_AXXXXXXXXX</v>
      </c>
      <c r="Z323" s="51" t="s">
        <v>34</v>
      </c>
      <c r="AA323" s="51" t="s">
        <v>35</v>
      </c>
      <c r="AB323" s="26"/>
      <c r="AC323" s="26"/>
    </row>
    <row r="324" ht="12" customHeight="1" spans="1:29">
      <c r="A324" s="26"/>
      <c r="B324" s="26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62"/>
      <c r="R324" s="59"/>
      <c r="S324" s="59">
        <v>260305</v>
      </c>
      <c r="T324" s="59" t="s">
        <v>30</v>
      </c>
      <c r="U324" s="51" t="s">
        <v>85</v>
      </c>
      <c r="V324" s="72" t="s">
        <v>30</v>
      </c>
      <c r="W324" s="74" t="s">
        <v>115</v>
      </c>
      <c r="X324" s="72" t="s">
        <v>33</v>
      </c>
      <c r="Y324" s="51" t="str">
        <f t="shared" si="5"/>
        <v>260305_TPNB500597_0155_AXXXXXXXXX</v>
      </c>
      <c r="Z324" s="51" t="s">
        <v>87</v>
      </c>
      <c r="AA324" s="51" t="s">
        <v>35</v>
      </c>
      <c r="AB324" s="26"/>
      <c r="AC324" s="26"/>
    </row>
    <row r="325" ht="12" customHeight="1" spans="1:29">
      <c r="A325" s="26"/>
      <c r="B325" s="26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62"/>
      <c r="R325" s="59"/>
      <c r="S325" s="59">
        <v>260305</v>
      </c>
      <c r="T325" s="59" t="s">
        <v>30</v>
      </c>
      <c r="U325" s="51" t="s">
        <v>88</v>
      </c>
      <c r="V325" s="72" t="s">
        <v>30</v>
      </c>
      <c r="W325" s="40" t="s">
        <v>185</v>
      </c>
      <c r="X325" s="72" t="s">
        <v>33</v>
      </c>
      <c r="Y325" s="51" t="str">
        <f t="shared" si="5"/>
        <v>260305_TPNB500641_0165_AXXXXXXXXX</v>
      </c>
      <c r="Z325" s="51" t="s">
        <v>90</v>
      </c>
      <c r="AA325" s="51" t="s">
        <v>35</v>
      </c>
      <c r="AB325" s="26"/>
      <c r="AC325" s="26"/>
    </row>
    <row r="326" ht="12" customHeight="1" spans="1:29">
      <c r="A326" s="26"/>
      <c r="B326" s="26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62"/>
      <c r="R326" s="59"/>
      <c r="S326" s="59">
        <v>260305</v>
      </c>
      <c r="T326" s="59" t="s">
        <v>30</v>
      </c>
      <c r="U326" s="51" t="s">
        <v>36</v>
      </c>
      <c r="V326" s="72" t="s">
        <v>30</v>
      </c>
      <c r="W326" s="102" t="s">
        <v>437</v>
      </c>
      <c r="X326" s="72" t="s">
        <v>33</v>
      </c>
      <c r="Y326" s="51" t="str">
        <f t="shared" si="5"/>
        <v>260305_NDX551406_RUO_0348_AXXXXXXXXX</v>
      </c>
      <c r="Z326" s="51" t="s">
        <v>38</v>
      </c>
      <c r="AA326" s="51" t="s">
        <v>39</v>
      </c>
      <c r="AB326" s="26"/>
      <c r="AC326" s="26"/>
    </row>
    <row r="327" ht="12" customHeight="1" spans="1:29">
      <c r="A327" s="26"/>
      <c r="B327" s="26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62"/>
      <c r="R327" s="59"/>
      <c r="S327" s="59">
        <v>260305</v>
      </c>
      <c r="T327" s="59" t="s">
        <v>30</v>
      </c>
      <c r="U327" s="51" t="s">
        <v>92</v>
      </c>
      <c r="V327" s="72" t="s">
        <v>30</v>
      </c>
      <c r="W327" s="103" t="s">
        <v>232</v>
      </c>
      <c r="X327" s="72" t="s">
        <v>33</v>
      </c>
      <c r="Y327" s="51" t="str">
        <f t="shared" si="5"/>
        <v>260305_NDX550598_RUO_0116_AXXXXXXXXX</v>
      </c>
      <c r="Z327" s="51" t="s">
        <v>94</v>
      </c>
      <c r="AA327" s="51" t="s">
        <v>39</v>
      </c>
      <c r="AB327" s="26"/>
      <c r="AC327" s="26"/>
    </row>
    <row r="328" ht="12" customHeight="1" spans="1:29">
      <c r="A328" s="26"/>
      <c r="B328" s="26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62"/>
      <c r="R328" s="59"/>
      <c r="S328" s="59">
        <v>260305</v>
      </c>
      <c r="T328" s="59" t="s">
        <v>30</v>
      </c>
      <c r="U328" s="51" t="s">
        <v>95</v>
      </c>
      <c r="V328" s="72" t="s">
        <v>30</v>
      </c>
      <c r="W328" s="103" t="s">
        <v>438</v>
      </c>
      <c r="X328" s="72" t="s">
        <v>33</v>
      </c>
      <c r="Y328" s="51" t="str">
        <f t="shared" si="5"/>
        <v>260305_NDX550778_RUO_0139_AXXXXXXXXX</v>
      </c>
      <c r="Z328" s="51" t="s">
        <v>97</v>
      </c>
      <c r="AA328" s="51" t="s">
        <v>39</v>
      </c>
      <c r="AB328" s="26"/>
      <c r="AC328" s="26"/>
    </row>
    <row r="329" ht="12" customHeight="1" spans="1:29">
      <c r="A329" s="26"/>
      <c r="B329" s="26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62"/>
      <c r="R329" s="59"/>
      <c r="S329" s="59">
        <v>260305</v>
      </c>
      <c r="T329" s="59" t="s">
        <v>30</v>
      </c>
      <c r="U329" s="26" t="s">
        <v>98</v>
      </c>
      <c r="V329" s="72" t="s">
        <v>30</v>
      </c>
      <c r="W329" s="102" t="s">
        <v>439</v>
      </c>
      <c r="X329" s="72" t="s">
        <v>33</v>
      </c>
      <c r="Y329" s="51" t="str">
        <f t="shared" si="5"/>
        <v>260305_TPNB500657_0164_AXXXXXXXXX</v>
      </c>
      <c r="Z329" s="51" t="s">
        <v>100</v>
      </c>
      <c r="AA329" s="51" t="s">
        <v>35</v>
      </c>
      <c r="AB329" s="26"/>
      <c r="AC329" s="26"/>
    </row>
    <row r="330" ht="12" customHeight="1" spans="1:29">
      <c r="A330" s="26"/>
      <c r="B330" s="26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62"/>
      <c r="R330" s="59"/>
      <c r="S330" s="59">
        <v>260305</v>
      </c>
      <c r="T330" s="59" t="s">
        <v>30</v>
      </c>
      <c r="U330" s="26" t="s">
        <v>101</v>
      </c>
      <c r="V330" s="72" t="s">
        <v>30</v>
      </c>
      <c r="W330" s="107" t="s">
        <v>173</v>
      </c>
      <c r="X330" s="72" t="s">
        <v>33</v>
      </c>
      <c r="Y330" s="51" t="str">
        <f t="shared" si="5"/>
        <v>260305_TPNB500530_0163_AXXXXXXXXX</v>
      </c>
      <c r="Z330" s="51" t="s">
        <v>103</v>
      </c>
      <c r="AA330" s="51" t="s">
        <v>35</v>
      </c>
      <c r="AB330" s="26"/>
      <c r="AC330" s="26"/>
    </row>
    <row r="331" ht="12" customHeight="1" spans="1:29">
      <c r="A331" s="26"/>
      <c r="B331" s="26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62"/>
      <c r="R331" s="59"/>
      <c r="S331" s="59">
        <v>260305</v>
      </c>
      <c r="T331" s="59" t="s">
        <v>30</v>
      </c>
      <c r="U331" s="26" t="s">
        <v>104</v>
      </c>
      <c r="V331" s="72" t="s">
        <v>30</v>
      </c>
      <c r="W331" s="104" t="s">
        <v>84</v>
      </c>
      <c r="X331" s="72" t="s">
        <v>33</v>
      </c>
      <c r="Y331" s="51" t="str">
        <f t="shared" si="5"/>
        <v>260305_TPNB500560_0153_AXXXXXXXXX</v>
      </c>
      <c r="Z331" s="51" t="s">
        <v>106</v>
      </c>
      <c r="AA331" s="51" t="s">
        <v>35</v>
      </c>
      <c r="AB331" s="26"/>
      <c r="AC331" s="26"/>
    </row>
    <row r="332" ht="12" customHeight="1" spans="1:29">
      <c r="A332" s="26"/>
      <c r="B332" s="26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62"/>
      <c r="R332" s="59"/>
      <c r="S332" s="59">
        <v>260305</v>
      </c>
      <c r="T332" s="59" t="s">
        <v>30</v>
      </c>
      <c r="U332" s="51" t="s">
        <v>36</v>
      </c>
      <c r="V332" s="72" t="s">
        <v>30</v>
      </c>
      <c r="W332" s="102" t="s">
        <v>440</v>
      </c>
      <c r="X332" s="72" t="s">
        <v>33</v>
      </c>
      <c r="Y332" s="51" t="str">
        <f t="shared" si="5"/>
        <v>260305_NDX551406_RUO_0349_AXXXXXXXXX</v>
      </c>
      <c r="Z332" s="51" t="s">
        <v>38</v>
      </c>
      <c r="AA332" s="51" t="s">
        <v>39</v>
      </c>
      <c r="AB332" s="26"/>
      <c r="AC332" s="26"/>
    </row>
    <row r="333" ht="12" customHeight="1" spans="1:29">
      <c r="A333" s="26"/>
      <c r="B333" s="26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62"/>
      <c r="R333" s="59"/>
      <c r="S333" s="59">
        <v>260305</v>
      </c>
      <c r="T333" s="59" t="s">
        <v>30</v>
      </c>
      <c r="U333" s="51" t="s">
        <v>92</v>
      </c>
      <c r="V333" s="72" t="s">
        <v>30</v>
      </c>
      <c r="W333" s="103" t="s">
        <v>260</v>
      </c>
      <c r="X333" s="72" t="s">
        <v>33</v>
      </c>
      <c r="Y333" s="51" t="str">
        <f t="shared" si="5"/>
        <v>260305_NDX550598_RUO_0117_AXXXXXXXXX</v>
      </c>
      <c r="Z333" s="51" t="s">
        <v>94</v>
      </c>
      <c r="AA333" s="51" t="s">
        <v>39</v>
      </c>
      <c r="AB333" s="26"/>
      <c r="AC333" s="26"/>
    </row>
    <row r="334" ht="12" customHeight="1" spans="1:29">
      <c r="A334" s="26"/>
      <c r="B334" s="26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62"/>
      <c r="R334" s="59"/>
      <c r="S334" s="59">
        <v>260305</v>
      </c>
      <c r="T334" s="59" t="s">
        <v>30</v>
      </c>
      <c r="U334" s="51" t="s">
        <v>95</v>
      </c>
      <c r="V334" s="72" t="s">
        <v>30</v>
      </c>
      <c r="W334" s="103" t="s">
        <v>441</v>
      </c>
      <c r="X334" s="72" t="s">
        <v>33</v>
      </c>
      <c r="Y334" s="51" t="str">
        <f t="shared" si="5"/>
        <v>260305_NDX550778_RUO_0140_AXXXXXXXXX</v>
      </c>
      <c r="Z334" s="51" t="s">
        <v>97</v>
      </c>
      <c r="AA334" s="51" t="s">
        <v>39</v>
      </c>
      <c r="AB334" s="26"/>
      <c r="AC334" s="26"/>
    </row>
    <row r="335" ht="13" customHeight="1" spans="1:29">
      <c r="A335" s="26"/>
      <c r="B335" s="26"/>
      <c r="C335" s="59" t="s">
        <v>415</v>
      </c>
      <c r="D335" s="59" t="s">
        <v>242</v>
      </c>
      <c r="E335" s="59" t="s">
        <v>415</v>
      </c>
      <c r="F335" s="59" t="s">
        <v>242</v>
      </c>
      <c r="G335" s="59" t="s">
        <v>424</v>
      </c>
      <c r="H335" s="59" t="s">
        <v>242</v>
      </c>
      <c r="I335" s="59" t="s">
        <v>442</v>
      </c>
      <c r="J335" s="59" t="s">
        <v>73</v>
      </c>
      <c r="K335" s="59" t="s">
        <v>443</v>
      </c>
      <c r="L335" s="59" t="s">
        <v>77</v>
      </c>
      <c r="M335" s="59" t="s">
        <v>444</v>
      </c>
      <c r="N335" s="59" t="s">
        <v>77</v>
      </c>
      <c r="O335" s="69" t="s">
        <v>445</v>
      </c>
      <c r="P335" s="59" t="s">
        <v>81</v>
      </c>
      <c r="Q335" s="62"/>
      <c r="R335" s="59" t="s">
        <v>446</v>
      </c>
      <c r="S335" s="59">
        <v>260306</v>
      </c>
      <c r="T335" s="59" t="s">
        <v>30</v>
      </c>
      <c r="U335" s="51" t="s">
        <v>31</v>
      </c>
      <c r="V335" s="72" t="s">
        <v>30</v>
      </c>
      <c r="W335" s="102" t="s">
        <v>447</v>
      </c>
      <c r="X335" s="72" t="s">
        <v>33</v>
      </c>
      <c r="Y335" s="51" t="str">
        <f t="shared" si="5"/>
        <v>260306_TPNB500477_0232_AXXXXXXXXX</v>
      </c>
      <c r="Z335" s="51" t="s">
        <v>34</v>
      </c>
      <c r="AA335" s="51" t="s">
        <v>35</v>
      </c>
      <c r="AB335" s="26"/>
      <c r="AC335" s="26"/>
    </row>
    <row r="336" ht="13" customHeight="1" spans="1:29">
      <c r="A336" s="26"/>
      <c r="B336" s="26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62"/>
      <c r="R336" s="59"/>
      <c r="S336" s="59">
        <v>260306</v>
      </c>
      <c r="T336" s="59" t="s">
        <v>30</v>
      </c>
      <c r="U336" s="51" t="s">
        <v>85</v>
      </c>
      <c r="V336" s="72" t="s">
        <v>30</v>
      </c>
      <c r="W336" s="74" t="s">
        <v>131</v>
      </c>
      <c r="X336" s="72" t="s">
        <v>33</v>
      </c>
      <c r="Y336" s="51" t="str">
        <f t="shared" si="5"/>
        <v>260306_TPNB500597_0157_AXXXXXXXXX</v>
      </c>
      <c r="Z336" s="51" t="s">
        <v>87</v>
      </c>
      <c r="AA336" s="51" t="s">
        <v>35</v>
      </c>
      <c r="AB336" s="26"/>
      <c r="AC336" s="26"/>
    </row>
    <row r="337" ht="13" customHeight="1" spans="1:29">
      <c r="A337" s="26"/>
      <c r="B337" s="26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62"/>
      <c r="R337" s="59"/>
      <c r="S337" s="59">
        <v>260306</v>
      </c>
      <c r="T337" s="59" t="s">
        <v>30</v>
      </c>
      <c r="U337" s="51" t="s">
        <v>88</v>
      </c>
      <c r="V337" s="72" t="s">
        <v>30</v>
      </c>
      <c r="W337" s="40" t="s">
        <v>197</v>
      </c>
      <c r="X337" s="72" t="s">
        <v>33</v>
      </c>
      <c r="Y337" s="51" t="str">
        <f t="shared" si="5"/>
        <v>260306_TPNB500641_0167_AXXXXXXXXX</v>
      </c>
      <c r="Z337" s="51" t="s">
        <v>90</v>
      </c>
      <c r="AA337" s="51" t="s">
        <v>35</v>
      </c>
      <c r="AB337" s="26"/>
      <c r="AC337" s="26"/>
    </row>
    <row r="338" ht="13" customHeight="1" spans="1:29">
      <c r="A338" s="26"/>
      <c r="B338" s="26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62"/>
      <c r="R338" s="59"/>
      <c r="S338" s="59">
        <v>260306</v>
      </c>
      <c r="T338" s="59" t="s">
        <v>30</v>
      </c>
      <c r="U338" s="51" t="s">
        <v>36</v>
      </c>
      <c r="V338" s="72" t="s">
        <v>30</v>
      </c>
      <c r="W338" s="102" t="s">
        <v>448</v>
      </c>
      <c r="X338" s="72" t="s">
        <v>33</v>
      </c>
      <c r="Y338" s="51" t="str">
        <f t="shared" si="5"/>
        <v>260306_NDX551406_RUO_0350_AXXXXXXXXX</v>
      </c>
      <c r="Z338" s="51" t="s">
        <v>38</v>
      </c>
      <c r="AA338" s="51" t="s">
        <v>39</v>
      </c>
      <c r="AB338" s="26"/>
      <c r="AC338" s="26"/>
    </row>
    <row r="339" ht="13" customHeight="1" spans="1:29">
      <c r="A339" s="26"/>
      <c r="B339" s="26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62"/>
      <c r="R339" s="59"/>
      <c r="S339" s="59">
        <v>260306</v>
      </c>
      <c r="T339" s="59" t="s">
        <v>30</v>
      </c>
      <c r="U339" s="51" t="s">
        <v>92</v>
      </c>
      <c r="V339" s="72" t="s">
        <v>30</v>
      </c>
      <c r="W339" s="103" t="s">
        <v>259</v>
      </c>
      <c r="X339" s="72" t="s">
        <v>33</v>
      </c>
      <c r="Y339" s="51" t="str">
        <f t="shared" si="5"/>
        <v>260306_NDX550598_RUO_0118_AXXXXXXXXX</v>
      </c>
      <c r="Z339" s="51" t="s">
        <v>94</v>
      </c>
      <c r="AA339" s="51" t="s">
        <v>39</v>
      </c>
      <c r="AB339" s="26"/>
      <c r="AC339" s="26"/>
    </row>
    <row r="340" ht="13" customHeight="1" spans="1:29">
      <c r="A340" s="26"/>
      <c r="B340" s="26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62"/>
      <c r="R340" s="59"/>
      <c r="S340" s="59">
        <v>260306</v>
      </c>
      <c r="T340" s="59" t="s">
        <v>30</v>
      </c>
      <c r="U340" s="51" t="s">
        <v>95</v>
      </c>
      <c r="V340" s="72" t="s">
        <v>30</v>
      </c>
      <c r="W340" s="103" t="s">
        <v>373</v>
      </c>
      <c r="X340" s="72" t="s">
        <v>33</v>
      </c>
      <c r="Y340" s="51" t="str">
        <f t="shared" si="5"/>
        <v>260306_NDX550778_RUO_0141_AXXXXXXXXX</v>
      </c>
      <c r="Z340" s="51" t="s">
        <v>97</v>
      </c>
      <c r="AA340" s="51" t="s">
        <v>39</v>
      </c>
      <c r="AB340" s="26"/>
      <c r="AC340" s="26"/>
    </row>
    <row r="341" ht="13" customHeight="1" spans="1:29">
      <c r="A341" s="26"/>
      <c r="B341" s="26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62"/>
      <c r="R341" s="59"/>
      <c r="S341" s="59">
        <v>260306</v>
      </c>
      <c r="T341" s="59" t="s">
        <v>30</v>
      </c>
      <c r="U341" s="26" t="s">
        <v>98</v>
      </c>
      <c r="V341" s="72" t="s">
        <v>30</v>
      </c>
      <c r="W341" s="102" t="s">
        <v>449</v>
      </c>
      <c r="X341" s="72" t="s">
        <v>33</v>
      </c>
      <c r="Y341" s="51" t="str">
        <f t="shared" si="5"/>
        <v>260306_TPNB500657_0166_AXXXXXXXXX</v>
      </c>
      <c r="Z341" s="51" t="s">
        <v>100</v>
      </c>
      <c r="AA341" s="51" t="s">
        <v>35</v>
      </c>
      <c r="AB341" s="26"/>
      <c r="AC341" s="26"/>
    </row>
    <row r="342" ht="13" customHeight="1" spans="1:29">
      <c r="A342" s="26"/>
      <c r="B342" s="26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62"/>
      <c r="R342" s="59"/>
      <c r="S342" s="59">
        <v>260306</v>
      </c>
      <c r="T342" s="59" t="s">
        <v>30</v>
      </c>
      <c r="U342" s="26" t="s">
        <v>101</v>
      </c>
      <c r="V342" s="72" t="s">
        <v>30</v>
      </c>
      <c r="W342" s="107" t="s">
        <v>185</v>
      </c>
      <c r="X342" s="72" t="s">
        <v>33</v>
      </c>
      <c r="Y342" s="51" t="str">
        <f t="shared" si="5"/>
        <v>260306_TPNB500530_0165_AXXXXXXXXX</v>
      </c>
      <c r="Z342" s="51" t="s">
        <v>103</v>
      </c>
      <c r="AA342" s="51" t="s">
        <v>35</v>
      </c>
      <c r="AB342" s="26"/>
      <c r="AC342" s="26"/>
    </row>
    <row r="343" ht="13" customHeight="1" spans="1:29">
      <c r="A343" s="26"/>
      <c r="B343" s="26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62"/>
      <c r="R343" s="59"/>
      <c r="S343" s="59">
        <v>260306</v>
      </c>
      <c r="T343" s="59" t="s">
        <v>30</v>
      </c>
      <c r="U343" s="26" t="s">
        <v>104</v>
      </c>
      <c r="V343" s="72" t="s">
        <v>30</v>
      </c>
      <c r="W343" s="104" t="s">
        <v>115</v>
      </c>
      <c r="X343" s="72" t="s">
        <v>33</v>
      </c>
      <c r="Y343" s="51" t="str">
        <f t="shared" si="5"/>
        <v>260306_TPNB500560_0155_AXXXXXXXXX</v>
      </c>
      <c r="Z343" s="51" t="s">
        <v>106</v>
      </c>
      <c r="AA343" s="51" t="s">
        <v>35</v>
      </c>
      <c r="AB343" s="26"/>
      <c r="AC343" s="26"/>
    </row>
    <row r="344" ht="13" customHeight="1" spans="1:29">
      <c r="A344" s="26"/>
      <c r="B344" s="26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62"/>
      <c r="R344" s="59"/>
      <c r="S344" s="59">
        <v>260306</v>
      </c>
      <c r="T344" s="59" t="s">
        <v>30</v>
      </c>
      <c r="U344" s="51" t="s">
        <v>36</v>
      </c>
      <c r="V344" s="72" t="s">
        <v>30</v>
      </c>
      <c r="W344" s="102" t="s">
        <v>450</v>
      </c>
      <c r="X344" s="72" t="s">
        <v>33</v>
      </c>
      <c r="Y344" s="51" t="str">
        <f t="shared" si="5"/>
        <v>260306_NDX551406_RUO_0351_AXXXXXXXXX</v>
      </c>
      <c r="Z344" s="51" t="s">
        <v>38</v>
      </c>
      <c r="AA344" s="51" t="s">
        <v>39</v>
      </c>
      <c r="AB344" s="26"/>
      <c r="AC344" s="26"/>
    </row>
    <row r="345" ht="13" customHeight="1" spans="1:29">
      <c r="A345" s="26"/>
      <c r="B345" s="26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62"/>
      <c r="R345" s="59"/>
      <c r="S345" s="59">
        <v>260306</v>
      </c>
      <c r="T345" s="59" t="s">
        <v>30</v>
      </c>
      <c r="U345" s="51" t="s">
        <v>92</v>
      </c>
      <c r="V345" s="72" t="s">
        <v>30</v>
      </c>
      <c r="W345" s="103" t="s">
        <v>262</v>
      </c>
      <c r="X345" s="72" t="s">
        <v>33</v>
      </c>
      <c r="Y345" s="51" t="str">
        <f t="shared" si="5"/>
        <v>260306_NDX550598_RUO_0119_AXXXXXXXXX</v>
      </c>
      <c r="Z345" s="51" t="s">
        <v>94</v>
      </c>
      <c r="AA345" s="51" t="s">
        <v>39</v>
      </c>
      <c r="AB345" s="26"/>
      <c r="AC345" s="26"/>
    </row>
    <row r="346" ht="13" customHeight="1" spans="1:29">
      <c r="A346" s="26"/>
      <c r="B346" s="26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62"/>
      <c r="R346" s="59"/>
      <c r="S346" s="59">
        <v>260306</v>
      </c>
      <c r="T346" s="59" t="s">
        <v>30</v>
      </c>
      <c r="U346" s="51" t="s">
        <v>95</v>
      </c>
      <c r="V346" s="72" t="s">
        <v>30</v>
      </c>
      <c r="W346" s="103" t="s">
        <v>451</v>
      </c>
      <c r="X346" s="72" t="s">
        <v>33</v>
      </c>
      <c r="Y346" s="51" t="str">
        <f t="shared" si="5"/>
        <v>260306_NDX550778_RUO_0142_AXXXXXXXXX</v>
      </c>
      <c r="Z346" s="51" t="s">
        <v>97</v>
      </c>
      <c r="AA346" s="51" t="s">
        <v>39</v>
      </c>
      <c r="AB346" s="26"/>
      <c r="AC346" s="26"/>
    </row>
    <row r="347" ht="20" customHeight="1" spans="1:29">
      <c r="A347" s="26"/>
      <c r="B347" s="26"/>
      <c r="C347" s="59" t="s">
        <v>415</v>
      </c>
      <c r="D347" s="59" t="s">
        <v>242</v>
      </c>
      <c r="E347" s="59" t="s">
        <v>415</v>
      </c>
      <c r="F347" s="59" t="s">
        <v>242</v>
      </c>
      <c r="G347" s="59" t="s">
        <v>424</v>
      </c>
      <c r="H347" s="59" t="s">
        <v>242</v>
      </c>
      <c r="I347" s="59" t="s">
        <v>452</v>
      </c>
      <c r="J347" s="59" t="s">
        <v>73</v>
      </c>
      <c r="K347" s="59" t="s">
        <v>453</v>
      </c>
      <c r="L347" s="59" t="s">
        <v>77</v>
      </c>
      <c r="M347" s="59" t="s">
        <v>454</v>
      </c>
      <c r="N347" s="59" t="s">
        <v>77</v>
      </c>
      <c r="O347" s="64" t="s">
        <v>455</v>
      </c>
      <c r="P347" s="59" t="s">
        <v>81</v>
      </c>
      <c r="Q347" s="62"/>
      <c r="R347" s="59" t="s">
        <v>456</v>
      </c>
      <c r="S347" s="59">
        <v>260307</v>
      </c>
      <c r="T347" s="59" t="s">
        <v>30</v>
      </c>
      <c r="U347" s="51" t="s">
        <v>31</v>
      </c>
      <c r="V347" s="72" t="s">
        <v>30</v>
      </c>
      <c r="W347" s="105" t="s">
        <v>457</v>
      </c>
      <c r="X347" s="72" t="s">
        <v>33</v>
      </c>
      <c r="Y347" s="51" t="str">
        <f t="shared" si="5"/>
        <v>260307_TPNB500477_0234_AXXXXXXXXX</v>
      </c>
      <c r="Z347" s="51" t="s">
        <v>34</v>
      </c>
      <c r="AA347" s="51" t="s">
        <v>35</v>
      </c>
      <c r="AB347" s="26"/>
      <c r="AC347" s="26"/>
    </row>
    <row r="348" ht="20" customHeight="1" spans="1:29">
      <c r="A348" s="26"/>
      <c r="B348" s="26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66"/>
      <c r="P348" s="59"/>
      <c r="Q348" s="62"/>
      <c r="R348" s="59"/>
      <c r="S348" s="59">
        <v>260307</v>
      </c>
      <c r="T348" s="59" t="s">
        <v>30</v>
      </c>
      <c r="U348" s="51" t="s">
        <v>85</v>
      </c>
      <c r="V348" s="72" t="s">
        <v>30</v>
      </c>
      <c r="W348" s="74" t="s">
        <v>146</v>
      </c>
      <c r="X348" s="72" t="s">
        <v>33</v>
      </c>
      <c r="Y348" s="51" t="str">
        <f t="shared" si="5"/>
        <v>260307_TPNB500597_0159_AXXXXXXXXX</v>
      </c>
      <c r="Z348" s="51" t="s">
        <v>87</v>
      </c>
      <c r="AA348" s="51" t="s">
        <v>35</v>
      </c>
      <c r="AB348" s="26"/>
      <c r="AC348" s="26"/>
    </row>
    <row r="349" ht="20" customHeight="1" spans="1:29">
      <c r="A349" s="26"/>
      <c r="B349" s="26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66"/>
      <c r="P349" s="59"/>
      <c r="Q349" s="62"/>
      <c r="R349" s="59"/>
      <c r="S349" s="59">
        <v>260307</v>
      </c>
      <c r="T349" s="59" t="s">
        <v>30</v>
      </c>
      <c r="U349" s="51" t="s">
        <v>88</v>
      </c>
      <c r="V349" s="72" t="s">
        <v>30</v>
      </c>
      <c r="W349" s="85" t="s">
        <v>209</v>
      </c>
      <c r="X349" s="72" t="s">
        <v>33</v>
      </c>
      <c r="Y349" s="51" t="str">
        <f t="shared" si="5"/>
        <v>260307_TPNB500641_0169_AXXXXXXXXX</v>
      </c>
      <c r="Z349" s="51" t="s">
        <v>90</v>
      </c>
      <c r="AA349" s="51" t="s">
        <v>35</v>
      </c>
      <c r="AB349" s="26"/>
      <c r="AC349" s="26"/>
    </row>
    <row r="350" ht="20" customHeight="1" spans="1:29">
      <c r="A350" s="26"/>
      <c r="B350" s="26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66"/>
      <c r="P350" s="59"/>
      <c r="Q350" s="62"/>
      <c r="R350" s="59"/>
      <c r="S350" s="59">
        <v>260307</v>
      </c>
      <c r="T350" s="59" t="s">
        <v>30</v>
      </c>
      <c r="U350" s="51" t="s">
        <v>36</v>
      </c>
      <c r="V350" s="72" t="s">
        <v>30</v>
      </c>
      <c r="W350" s="105" t="s">
        <v>458</v>
      </c>
      <c r="X350" s="72" t="s">
        <v>33</v>
      </c>
      <c r="Y350" s="51" t="str">
        <f t="shared" si="5"/>
        <v>260307_NDX551406_RUO_0352_AXXXXXXXXX</v>
      </c>
      <c r="Z350" s="51" t="s">
        <v>38</v>
      </c>
      <c r="AA350" s="51" t="s">
        <v>39</v>
      </c>
      <c r="AB350" s="26"/>
      <c r="AC350" s="26"/>
    </row>
    <row r="351" ht="20" customHeight="1" spans="1:29">
      <c r="A351" s="26"/>
      <c r="B351" s="26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66"/>
      <c r="P351" s="59"/>
      <c r="Q351" s="62"/>
      <c r="R351" s="59"/>
      <c r="S351" s="59">
        <v>260307</v>
      </c>
      <c r="T351" s="59" t="s">
        <v>30</v>
      </c>
      <c r="U351" s="51" t="s">
        <v>92</v>
      </c>
      <c r="V351" s="72" t="s">
        <v>30</v>
      </c>
      <c r="W351" s="101" t="s">
        <v>32</v>
      </c>
      <c r="X351" s="72" t="s">
        <v>33</v>
      </c>
      <c r="Y351" s="51" t="str">
        <f t="shared" si="5"/>
        <v>260307_NDX550598_RUO_0120_AXXXXXXXXX</v>
      </c>
      <c r="Z351" s="51" t="s">
        <v>94</v>
      </c>
      <c r="AA351" s="51" t="s">
        <v>39</v>
      </c>
      <c r="AB351" s="26"/>
      <c r="AC351" s="26"/>
    </row>
    <row r="352" ht="20" customHeight="1" spans="1:29">
      <c r="A352" s="26"/>
      <c r="B352" s="26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66"/>
      <c r="P352" s="59"/>
      <c r="Q352" s="62"/>
      <c r="R352" s="59"/>
      <c r="S352" s="59">
        <v>260307</v>
      </c>
      <c r="T352" s="59" t="s">
        <v>30</v>
      </c>
      <c r="U352" s="51" t="s">
        <v>95</v>
      </c>
      <c r="V352" s="72" t="s">
        <v>30</v>
      </c>
      <c r="W352" s="101" t="s">
        <v>50</v>
      </c>
      <c r="X352" s="72" t="s">
        <v>33</v>
      </c>
      <c r="Y352" s="51" t="str">
        <f t="shared" si="5"/>
        <v>260307_NDX550778_RUO_0143_AXXXXXXXXX</v>
      </c>
      <c r="Z352" s="51" t="s">
        <v>97</v>
      </c>
      <c r="AA352" s="51" t="s">
        <v>39</v>
      </c>
      <c r="AB352" s="26"/>
      <c r="AC352" s="26"/>
    </row>
    <row r="353" ht="54" customHeight="1" spans="1:29">
      <c r="A353" s="26"/>
      <c r="B353" s="26"/>
      <c r="C353" s="59" t="s">
        <v>435</v>
      </c>
      <c r="D353" s="59" t="s">
        <v>242</v>
      </c>
      <c r="E353" s="59" t="s">
        <v>435</v>
      </c>
      <c r="F353" s="59" t="s">
        <v>242</v>
      </c>
      <c r="G353" s="59" t="s">
        <v>446</v>
      </c>
      <c r="H353" s="59" t="s">
        <v>242</v>
      </c>
      <c r="I353" s="59" t="s">
        <v>459</v>
      </c>
      <c r="J353" s="59" t="s">
        <v>20</v>
      </c>
      <c r="K353" s="59" t="s">
        <v>460</v>
      </c>
      <c r="L353" s="59" t="s">
        <v>20</v>
      </c>
      <c r="M353" s="59" t="s">
        <v>461</v>
      </c>
      <c r="N353" s="59" t="s">
        <v>20</v>
      </c>
      <c r="O353" s="98" t="s">
        <v>462</v>
      </c>
      <c r="P353" s="59" t="s">
        <v>81</v>
      </c>
      <c r="Q353" s="69" t="s">
        <v>463</v>
      </c>
      <c r="R353" s="59" t="s">
        <v>464</v>
      </c>
      <c r="S353" s="59">
        <v>260308</v>
      </c>
      <c r="T353" s="59" t="s">
        <v>30</v>
      </c>
      <c r="U353" s="51" t="s">
        <v>85</v>
      </c>
      <c r="V353" s="72" t="s">
        <v>30</v>
      </c>
      <c r="W353" s="74" t="s">
        <v>161</v>
      </c>
      <c r="X353" s="72" t="s">
        <v>33</v>
      </c>
      <c r="Y353" s="51" t="str">
        <f t="shared" si="5"/>
        <v>260308_TPNB500597_0161_AXXXXXXXXX</v>
      </c>
      <c r="Z353" s="51" t="s">
        <v>87</v>
      </c>
      <c r="AA353" s="51" t="s">
        <v>35</v>
      </c>
      <c r="AB353" s="26"/>
      <c r="AC353" s="26"/>
    </row>
    <row r="354" ht="54" customHeight="1" spans="1:29">
      <c r="A354" s="26"/>
      <c r="B354" s="26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96"/>
      <c r="P354" s="59"/>
      <c r="Q354" s="59"/>
      <c r="R354" s="59"/>
      <c r="S354" s="59">
        <v>260308</v>
      </c>
      <c r="T354" s="59" t="s">
        <v>30</v>
      </c>
      <c r="U354" s="51" t="s">
        <v>92</v>
      </c>
      <c r="V354" s="72" t="s">
        <v>30</v>
      </c>
      <c r="W354" s="103" t="s">
        <v>465</v>
      </c>
      <c r="X354" s="72" t="s">
        <v>33</v>
      </c>
      <c r="Y354" s="51" t="str">
        <f t="shared" si="5"/>
        <v>260308_NDX550598_RUO_0122_AXXXXXXXXX</v>
      </c>
      <c r="Z354" s="51" t="s">
        <v>94</v>
      </c>
      <c r="AA354" s="51" t="s">
        <v>39</v>
      </c>
      <c r="AB354" s="26"/>
      <c r="AC354" s="26"/>
    </row>
    <row r="355" ht="60" customHeight="1" spans="1:29">
      <c r="A355" s="26"/>
      <c r="B355" s="26"/>
      <c r="C355" s="59" t="s">
        <v>435</v>
      </c>
      <c r="D355" s="59" t="s">
        <v>242</v>
      </c>
      <c r="E355" s="59" t="s">
        <v>435</v>
      </c>
      <c r="F355" s="59" t="s">
        <v>242</v>
      </c>
      <c r="G355" s="59" t="s">
        <v>446</v>
      </c>
      <c r="H355" s="59" t="s">
        <v>242</v>
      </c>
      <c r="I355" s="59" t="s">
        <v>459</v>
      </c>
      <c r="J355" s="59" t="s">
        <v>20</v>
      </c>
      <c r="K355" s="59" t="s">
        <v>460</v>
      </c>
      <c r="L355" s="59" t="s">
        <v>20</v>
      </c>
      <c r="M355" s="59" t="s">
        <v>466</v>
      </c>
      <c r="N355" s="59" t="s">
        <v>20</v>
      </c>
      <c r="O355" s="98" t="s">
        <v>467</v>
      </c>
      <c r="P355" s="59" t="s">
        <v>81</v>
      </c>
      <c r="Q355" s="69" t="s">
        <v>468</v>
      </c>
      <c r="R355" s="59" t="s">
        <v>464</v>
      </c>
      <c r="S355" s="59">
        <v>260308</v>
      </c>
      <c r="T355" s="59" t="s">
        <v>30</v>
      </c>
      <c r="U355" s="51" t="s">
        <v>88</v>
      </c>
      <c r="V355" s="72" t="s">
        <v>30</v>
      </c>
      <c r="W355" s="40" t="s">
        <v>220</v>
      </c>
      <c r="X355" s="72" t="s">
        <v>33</v>
      </c>
      <c r="Y355" s="51" t="str">
        <f t="shared" si="5"/>
        <v>260308_TPNB500641_0171_AXXXXXXXXX</v>
      </c>
      <c r="Z355" s="51" t="s">
        <v>90</v>
      </c>
      <c r="AA355" s="51" t="s">
        <v>35</v>
      </c>
      <c r="AB355" s="26"/>
      <c r="AC355" s="26"/>
    </row>
    <row r="356" ht="60" customHeight="1" spans="1:29">
      <c r="A356" s="26"/>
      <c r="B356" s="26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96"/>
      <c r="P356" s="59"/>
      <c r="Q356" s="96"/>
      <c r="R356" s="59"/>
      <c r="S356" s="59">
        <v>260308</v>
      </c>
      <c r="T356" s="59" t="s">
        <v>30</v>
      </c>
      <c r="U356" s="51" t="s">
        <v>95</v>
      </c>
      <c r="V356" s="72" t="s">
        <v>30</v>
      </c>
      <c r="W356" s="103" t="s">
        <v>70</v>
      </c>
      <c r="X356" s="72" t="s">
        <v>33</v>
      </c>
      <c r="Y356" s="51" t="str">
        <f t="shared" si="5"/>
        <v>260308_NDX550778_RUO_0145_AXXXXXXXXX</v>
      </c>
      <c r="Z356" s="51" t="s">
        <v>97</v>
      </c>
      <c r="AA356" s="51" t="s">
        <v>39</v>
      </c>
      <c r="AB356" s="26"/>
      <c r="AC356" s="26"/>
    </row>
    <row r="357" ht="48" customHeight="1" spans="1:29">
      <c r="A357" s="26"/>
      <c r="B357" s="26"/>
      <c r="C357" s="59" t="s">
        <v>435</v>
      </c>
      <c r="D357" s="59" t="s">
        <v>242</v>
      </c>
      <c r="E357" s="59" t="s">
        <v>435</v>
      </c>
      <c r="F357" s="59" t="s">
        <v>242</v>
      </c>
      <c r="G357" s="59" t="s">
        <v>446</v>
      </c>
      <c r="H357" s="59" t="s">
        <v>242</v>
      </c>
      <c r="I357" s="59" t="s">
        <v>469</v>
      </c>
      <c r="J357" s="59" t="s">
        <v>20</v>
      </c>
      <c r="K357" s="59" t="s">
        <v>470</v>
      </c>
      <c r="L357" s="59" t="s">
        <v>20</v>
      </c>
      <c r="M357" s="59" t="s">
        <v>471</v>
      </c>
      <c r="N357" s="59" t="s">
        <v>20</v>
      </c>
      <c r="O357" s="69" t="s">
        <v>472</v>
      </c>
      <c r="P357" s="59" t="s">
        <v>81</v>
      </c>
      <c r="Q357" s="99" t="s">
        <v>473</v>
      </c>
      <c r="R357" s="59" t="s">
        <v>464</v>
      </c>
      <c r="S357" s="59">
        <v>260308</v>
      </c>
      <c r="T357" s="59" t="s">
        <v>30</v>
      </c>
      <c r="U357" s="51" t="s">
        <v>85</v>
      </c>
      <c r="V357" s="72" t="s">
        <v>30</v>
      </c>
      <c r="W357" s="74" t="s">
        <v>428</v>
      </c>
      <c r="X357" s="72" t="s">
        <v>33</v>
      </c>
      <c r="Y357" s="51" t="str">
        <f t="shared" si="5"/>
        <v>260308_TPNB500597_0162_AXXXXXXXXX</v>
      </c>
      <c r="Z357" s="51" t="s">
        <v>87</v>
      </c>
      <c r="AA357" s="51" t="s">
        <v>35</v>
      </c>
      <c r="AB357" s="26"/>
      <c r="AC357" s="26"/>
    </row>
    <row r="358" ht="48" customHeight="1" spans="1:29">
      <c r="A358" s="26"/>
      <c r="B358" s="26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100"/>
      <c r="R358" s="59"/>
      <c r="S358" s="59">
        <v>260308</v>
      </c>
      <c r="T358" s="59" t="s">
        <v>30</v>
      </c>
      <c r="U358" s="51" t="s">
        <v>92</v>
      </c>
      <c r="V358" s="72" t="s">
        <v>30</v>
      </c>
      <c r="W358" s="103" t="s">
        <v>321</v>
      </c>
      <c r="X358" s="72" t="s">
        <v>33</v>
      </c>
      <c r="Y358" s="51" t="str">
        <f t="shared" si="5"/>
        <v>260308_NDX550598_RUO_0123_AXXXXXXXXX</v>
      </c>
      <c r="Z358" s="51" t="s">
        <v>94</v>
      </c>
      <c r="AA358" s="51" t="s">
        <v>39</v>
      </c>
      <c r="AB358" s="26"/>
      <c r="AC358" s="26"/>
    </row>
    <row r="359" ht="33" customHeight="1" spans="1:29">
      <c r="A359" s="26"/>
      <c r="B359" s="26"/>
      <c r="C359" s="59" t="s">
        <v>435</v>
      </c>
      <c r="D359" s="59" t="s">
        <v>242</v>
      </c>
      <c r="E359" s="59" t="s">
        <v>435</v>
      </c>
      <c r="F359" s="59" t="s">
        <v>242</v>
      </c>
      <c r="G359" s="59" t="s">
        <v>446</v>
      </c>
      <c r="H359" s="59" t="s">
        <v>242</v>
      </c>
      <c r="I359" s="59" t="s">
        <v>469</v>
      </c>
      <c r="J359" s="59" t="s">
        <v>20</v>
      </c>
      <c r="K359" s="59" t="s">
        <v>470</v>
      </c>
      <c r="L359" s="59" t="s">
        <v>20</v>
      </c>
      <c r="M359" s="59" t="s">
        <v>474</v>
      </c>
      <c r="N359" s="59" t="s">
        <v>20</v>
      </c>
      <c r="O359" s="69" t="s">
        <v>475</v>
      </c>
      <c r="P359" s="59" t="s">
        <v>81</v>
      </c>
      <c r="Q359" s="69" t="s">
        <v>476</v>
      </c>
      <c r="R359" s="59" t="s">
        <v>464</v>
      </c>
      <c r="S359" s="59">
        <v>260308</v>
      </c>
      <c r="T359" s="59" t="s">
        <v>30</v>
      </c>
      <c r="U359" s="51" t="s">
        <v>88</v>
      </c>
      <c r="V359" s="72" t="s">
        <v>30</v>
      </c>
      <c r="W359" s="40" t="s">
        <v>477</v>
      </c>
      <c r="X359" s="72" t="s">
        <v>33</v>
      </c>
      <c r="Y359" s="51" t="str">
        <f t="shared" si="5"/>
        <v>260308_TPNB500641_0172_AXXXXXXXXX</v>
      </c>
      <c r="Z359" s="51" t="s">
        <v>90</v>
      </c>
      <c r="AA359" s="51" t="s">
        <v>35</v>
      </c>
      <c r="AB359" s="26"/>
      <c r="AC359" s="26"/>
    </row>
    <row r="360" ht="33" customHeight="1" spans="1:29">
      <c r="A360" s="26"/>
      <c r="B360" s="26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>
        <v>260308</v>
      </c>
      <c r="T360" s="59" t="s">
        <v>30</v>
      </c>
      <c r="U360" s="51" t="s">
        <v>95</v>
      </c>
      <c r="V360" s="72" t="s">
        <v>30</v>
      </c>
      <c r="W360" s="103" t="s">
        <v>326</v>
      </c>
      <c r="X360" s="72" t="s">
        <v>33</v>
      </c>
      <c r="Y360" s="51" t="str">
        <f t="shared" si="5"/>
        <v>260308_NDX550778_RUO_0146_AXXXXXXXXX</v>
      </c>
      <c r="Z360" s="51" t="s">
        <v>97</v>
      </c>
      <c r="AA360" s="51" t="s">
        <v>39</v>
      </c>
      <c r="AB360" s="26"/>
      <c r="AC360" s="26"/>
    </row>
    <row r="361" s="38" customFormat="1" ht="38" customHeight="1" spans="1:29">
      <c r="A361" s="26"/>
      <c r="B361" s="26"/>
      <c r="C361" s="96" t="s">
        <v>478</v>
      </c>
      <c r="D361" s="97" t="s">
        <v>479</v>
      </c>
      <c r="E361" s="96" t="s">
        <v>480</v>
      </c>
      <c r="F361" s="97" t="s">
        <v>479</v>
      </c>
      <c r="G361" s="40" t="s">
        <v>481</v>
      </c>
      <c r="H361" s="97" t="s">
        <v>479</v>
      </c>
      <c r="I361" s="40" t="s">
        <v>482</v>
      </c>
      <c r="J361" s="97" t="s">
        <v>479</v>
      </c>
      <c r="K361" s="40" t="s">
        <v>483</v>
      </c>
      <c r="L361" s="97" t="s">
        <v>479</v>
      </c>
      <c r="M361" s="96" t="s">
        <v>484</v>
      </c>
      <c r="N361" s="97" t="s">
        <v>479</v>
      </c>
      <c r="O361" s="98" t="s">
        <v>485</v>
      </c>
      <c r="P361" s="40" t="s">
        <v>486</v>
      </c>
      <c r="Q361" s="97" t="s">
        <v>487</v>
      </c>
      <c r="R361" s="96" t="s">
        <v>464</v>
      </c>
      <c r="S361" s="96">
        <v>260308</v>
      </c>
      <c r="T361" s="59" t="s">
        <v>30</v>
      </c>
      <c r="U361" s="51" t="s">
        <v>31</v>
      </c>
      <c r="V361" s="72" t="s">
        <v>30</v>
      </c>
      <c r="W361" s="105" t="s">
        <v>488</v>
      </c>
      <c r="X361" s="72" t="s">
        <v>33</v>
      </c>
      <c r="Y361" s="51" t="str">
        <f t="shared" si="5"/>
        <v>260308_TPNB500477_0236_AXXXXXXXXX</v>
      </c>
      <c r="Z361" s="51" t="s">
        <v>34</v>
      </c>
      <c r="AA361" s="51" t="s">
        <v>35</v>
      </c>
      <c r="AB361" s="26"/>
      <c r="AC361" s="26"/>
    </row>
    <row r="362" s="56" customFormat="1" ht="38" customHeight="1" spans="1:29">
      <c r="A362" s="40"/>
      <c r="B362" s="40"/>
      <c r="C362" s="96" t="s">
        <v>489</v>
      </c>
      <c r="D362" s="97" t="s">
        <v>490</v>
      </c>
      <c r="E362" s="96" t="s">
        <v>491</v>
      </c>
      <c r="F362" s="97" t="s">
        <v>490</v>
      </c>
      <c r="G362" s="40" t="s">
        <v>491</v>
      </c>
      <c r="H362" s="97" t="s">
        <v>490</v>
      </c>
      <c r="I362" s="40" t="s">
        <v>482</v>
      </c>
      <c r="J362" s="97" t="s">
        <v>490</v>
      </c>
      <c r="K362" s="40" t="s">
        <v>483</v>
      </c>
      <c r="L362" s="97" t="s">
        <v>490</v>
      </c>
      <c r="M362" s="96" t="s">
        <v>484</v>
      </c>
      <c r="N362" s="97" t="s">
        <v>490</v>
      </c>
      <c r="O362" s="98" t="s">
        <v>485</v>
      </c>
      <c r="P362" s="40" t="s">
        <v>492</v>
      </c>
      <c r="Q362" s="40"/>
      <c r="R362" s="96" t="s">
        <v>464</v>
      </c>
      <c r="S362" s="96">
        <v>260308</v>
      </c>
      <c r="T362" s="59" t="s">
        <v>30</v>
      </c>
      <c r="U362" s="51" t="s">
        <v>36</v>
      </c>
      <c r="V362" s="72" t="s">
        <v>30</v>
      </c>
      <c r="W362" s="105" t="s">
        <v>493</v>
      </c>
      <c r="X362" s="72" t="s">
        <v>33</v>
      </c>
      <c r="Y362" s="51" t="str">
        <f t="shared" si="5"/>
        <v>260308_NDX551406_RUO_0354_AXXXXXXXXX</v>
      </c>
      <c r="Z362" s="51" t="s">
        <v>38</v>
      </c>
      <c r="AA362" s="51" t="s">
        <v>39</v>
      </c>
      <c r="AB362" s="40"/>
      <c r="AC362" s="40"/>
    </row>
    <row r="363" ht="21" customHeight="1" spans="1:29">
      <c r="A363" s="26"/>
      <c r="B363" s="26"/>
      <c r="C363" s="59" t="s">
        <v>435</v>
      </c>
      <c r="D363" s="59" t="s">
        <v>242</v>
      </c>
      <c r="E363" s="59" t="s">
        <v>435</v>
      </c>
      <c r="F363" s="59" t="s">
        <v>242</v>
      </c>
      <c r="G363" s="59" t="s">
        <v>446</v>
      </c>
      <c r="H363" s="59" t="s">
        <v>242</v>
      </c>
      <c r="I363" s="59" t="s">
        <v>494</v>
      </c>
      <c r="J363" s="59" t="s">
        <v>20</v>
      </c>
      <c r="K363" s="59" t="s">
        <v>495</v>
      </c>
      <c r="L363" s="59" t="s">
        <v>20</v>
      </c>
      <c r="M363" s="59" t="s">
        <v>496</v>
      </c>
      <c r="N363" s="59" t="s">
        <v>20</v>
      </c>
      <c r="O363" s="69" t="s">
        <v>497</v>
      </c>
      <c r="P363" s="59" t="s">
        <v>81</v>
      </c>
      <c r="Q363" s="69" t="s">
        <v>476</v>
      </c>
      <c r="R363" s="59" t="s">
        <v>498</v>
      </c>
      <c r="S363" s="59">
        <v>260309</v>
      </c>
      <c r="T363" s="59" t="s">
        <v>30</v>
      </c>
      <c r="U363" s="51" t="s">
        <v>85</v>
      </c>
      <c r="V363" s="72" t="s">
        <v>30</v>
      </c>
      <c r="W363" s="74" t="s">
        <v>173</v>
      </c>
      <c r="X363" s="72" t="s">
        <v>33</v>
      </c>
      <c r="Y363" s="51" t="str">
        <f t="shared" si="5"/>
        <v>260309_TPNB500597_0163_AXXXXXXXXX</v>
      </c>
      <c r="Z363" s="51" t="s">
        <v>87</v>
      </c>
      <c r="AA363" s="51" t="s">
        <v>35</v>
      </c>
      <c r="AB363" s="26"/>
      <c r="AC363" s="26"/>
    </row>
    <row r="364" ht="21" customHeight="1" spans="1:29">
      <c r="A364" s="26"/>
      <c r="B364" s="26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>
        <v>260309</v>
      </c>
      <c r="T364" s="59" t="s">
        <v>30</v>
      </c>
      <c r="U364" s="51" t="s">
        <v>88</v>
      </c>
      <c r="V364" s="72" t="s">
        <v>30</v>
      </c>
      <c r="W364" s="85" t="s">
        <v>230</v>
      </c>
      <c r="X364" s="72" t="s">
        <v>33</v>
      </c>
      <c r="Y364" s="51" t="str">
        <f t="shared" si="5"/>
        <v>260309_TPNB500641_0173_AXXXXXXXXX</v>
      </c>
      <c r="Z364" s="51" t="s">
        <v>90</v>
      </c>
      <c r="AA364" s="51" t="s">
        <v>35</v>
      </c>
      <c r="AB364" s="26"/>
      <c r="AC364" s="26"/>
    </row>
    <row r="365" ht="21" customHeight="1" spans="1:29">
      <c r="A365" s="26"/>
      <c r="B365" s="26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>
        <v>260309</v>
      </c>
      <c r="T365" s="59" t="s">
        <v>30</v>
      </c>
      <c r="U365" s="51" t="s">
        <v>92</v>
      </c>
      <c r="V365" s="72" t="s">
        <v>30</v>
      </c>
      <c r="W365" s="101" t="s">
        <v>324</v>
      </c>
      <c r="X365" s="72" t="s">
        <v>33</v>
      </c>
      <c r="Y365" s="51" t="str">
        <f t="shared" si="5"/>
        <v>260309_NDX550598_RUO_0124_AXXXXXXXXX</v>
      </c>
      <c r="Z365" s="51" t="s">
        <v>94</v>
      </c>
      <c r="AA365" s="51" t="s">
        <v>39</v>
      </c>
      <c r="AB365" s="26"/>
      <c r="AC365" s="26"/>
    </row>
    <row r="366" ht="21" customHeight="1" spans="1:29">
      <c r="A366" s="26"/>
      <c r="B366" s="26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>
        <v>260309</v>
      </c>
      <c r="T366" s="59" t="s">
        <v>30</v>
      </c>
      <c r="U366" s="51" t="s">
        <v>95</v>
      </c>
      <c r="V366" s="72" t="s">
        <v>30</v>
      </c>
      <c r="W366" s="103" t="s">
        <v>335</v>
      </c>
      <c r="X366" s="72" t="s">
        <v>33</v>
      </c>
      <c r="Y366" s="51" t="str">
        <f t="shared" si="5"/>
        <v>260309_NDX550778_RUO_0147_AXXXXXXXXX</v>
      </c>
      <c r="Z366" s="51" t="s">
        <v>97</v>
      </c>
      <c r="AA366" s="51" t="s">
        <v>39</v>
      </c>
      <c r="AB366" s="26"/>
      <c r="AC366" s="26"/>
    </row>
    <row r="367" ht="21" customHeight="1" spans="1:29">
      <c r="A367" s="26"/>
      <c r="B367" s="26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>
        <v>260309</v>
      </c>
      <c r="T367" s="59" t="s">
        <v>30</v>
      </c>
      <c r="U367" s="51" t="s">
        <v>85</v>
      </c>
      <c r="V367" s="72" t="s">
        <v>30</v>
      </c>
      <c r="W367" s="74" t="s">
        <v>439</v>
      </c>
      <c r="X367" s="72" t="s">
        <v>33</v>
      </c>
      <c r="Y367" s="51" t="str">
        <f t="shared" si="5"/>
        <v>260309_TPNB500597_0164_AXXXXXXXXX</v>
      </c>
      <c r="Z367" s="51" t="s">
        <v>87</v>
      </c>
      <c r="AA367" s="51" t="s">
        <v>35</v>
      </c>
      <c r="AB367" s="26"/>
      <c r="AC367" s="26"/>
    </row>
    <row r="368" ht="21" customHeight="1" spans="1:29">
      <c r="A368" s="26"/>
      <c r="B368" s="26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>
        <v>260309</v>
      </c>
      <c r="T368" s="59" t="s">
        <v>30</v>
      </c>
      <c r="U368" s="51" t="s">
        <v>95</v>
      </c>
      <c r="V368" s="72" t="s">
        <v>30</v>
      </c>
      <c r="W368" s="103" t="s">
        <v>339</v>
      </c>
      <c r="X368" s="72" t="s">
        <v>33</v>
      </c>
      <c r="Y368" s="51" t="str">
        <f t="shared" si="5"/>
        <v>260309_NDX550778_RUO_0148_AXXXXXXXXX</v>
      </c>
      <c r="Z368" s="51" t="s">
        <v>97</v>
      </c>
      <c r="AA368" s="51" t="s">
        <v>39</v>
      </c>
      <c r="AB368" s="26"/>
      <c r="AC368" s="26"/>
    </row>
    <row r="369" ht="41" spans="1:29">
      <c r="A369" s="26"/>
      <c r="B369" s="26"/>
      <c r="C369" s="96" t="s">
        <v>499</v>
      </c>
      <c r="D369" s="97" t="s">
        <v>479</v>
      </c>
      <c r="E369" s="96" t="s">
        <v>480</v>
      </c>
      <c r="F369" s="97" t="s">
        <v>479</v>
      </c>
      <c r="G369" s="40" t="s">
        <v>481</v>
      </c>
      <c r="H369" s="97" t="s">
        <v>479</v>
      </c>
      <c r="I369" s="40" t="s">
        <v>482</v>
      </c>
      <c r="J369" s="97" t="s">
        <v>479</v>
      </c>
      <c r="K369" s="40" t="s">
        <v>483</v>
      </c>
      <c r="L369" s="97" t="s">
        <v>479</v>
      </c>
      <c r="M369" s="96" t="s">
        <v>500</v>
      </c>
      <c r="N369" s="97" t="s">
        <v>479</v>
      </c>
      <c r="O369" s="98" t="s">
        <v>485</v>
      </c>
      <c r="P369" s="40" t="s">
        <v>486</v>
      </c>
      <c r="Q369" s="97" t="s">
        <v>501</v>
      </c>
      <c r="R369" s="96" t="s">
        <v>498</v>
      </c>
      <c r="S369" s="96">
        <v>260309</v>
      </c>
      <c r="T369" s="59" t="s">
        <v>30</v>
      </c>
      <c r="U369" s="51" t="s">
        <v>31</v>
      </c>
      <c r="V369" s="72" t="s">
        <v>30</v>
      </c>
      <c r="W369" s="105" t="s">
        <v>502</v>
      </c>
      <c r="X369" s="72" t="s">
        <v>33</v>
      </c>
      <c r="Y369" s="51" t="str">
        <f t="shared" si="5"/>
        <v>260309_TPNB500477_0238_AXXXXXXXXX</v>
      </c>
      <c r="Z369" s="51" t="s">
        <v>34</v>
      </c>
      <c r="AA369" s="40" t="s">
        <v>35</v>
      </c>
      <c r="AB369" s="26"/>
      <c r="AC369" s="26"/>
    </row>
    <row r="370" ht="41" spans="1:29">
      <c r="A370" s="26"/>
      <c r="B370" s="26"/>
      <c r="C370" s="96" t="s">
        <v>503</v>
      </c>
      <c r="D370" s="97" t="s">
        <v>490</v>
      </c>
      <c r="E370" s="96" t="s">
        <v>491</v>
      </c>
      <c r="F370" s="97" t="s">
        <v>490</v>
      </c>
      <c r="G370" s="40" t="s">
        <v>491</v>
      </c>
      <c r="H370" s="97" t="s">
        <v>490</v>
      </c>
      <c r="I370" s="40" t="s">
        <v>482</v>
      </c>
      <c r="J370" s="97" t="s">
        <v>490</v>
      </c>
      <c r="K370" s="40" t="s">
        <v>483</v>
      </c>
      <c r="L370" s="97" t="s">
        <v>490</v>
      </c>
      <c r="M370" s="96" t="s">
        <v>500</v>
      </c>
      <c r="N370" s="97" t="s">
        <v>490</v>
      </c>
      <c r="O370" s="98" t="s">
        <v>485</v>
      </c>
      <c r="P370" s="40" t="s">
        <v>492</v>
      </c>
      <c r="Q370" s="40"/>
      <c r="R370" s="96" t="s">
        <v>498</v>
      </c>
      <c r="S370" s="96">
        <v>260309</v>
      </c>
      <c r="T370" s="59" t="s">
        <v>30</v>
      </c>
      <c r="U370" s="51" t="s">
        <v>36</v>
      </c>
      <c r="V370" s="72" t="s">
        <v>30</v>
      </c>
      <c r="W370" s="105" t="s">
        <v>504</v>
      </c>
      <c r="X370" s="72" t="s">
        <v>33</v>
      </c>
      <c r="Y370" s="51" t="str">
        <f t="shared" si="5"/>
        <v>260309_NDX551406_RUO_0356_AXXXXXXXXX</v>
      </c>
      <c r="Z370" s="51" t="s">
        <v>38</v>
      </c>
      <c r="AA370" s="40" t="s">
        <v>39</v>
      </c>
      <c r="AB370" s="26"/>
      <c r="AC370" s="26"/>
    </row>
    <row r="371" ht="28" spans="1:29">
      <c r="A371" s="26"/>
      <c r="B371" s="26"/>
      <c r="C371" s="59" t="s">
        <v>505</v>
      </c>
      <c r="D371" s="59" t="s">
        <v>242</v>
      </c>
      <c r="E371" s="59" t="s">
        <v>505</v>
      </c>
      <c r="F371" s="59" t="s">
        <v>242</v>
      </c>
      <c r="G371" s="59" t="s">
        <v>506</v>
      </c>
      <c r="H371" s="59" t="s">
        <v>242</v>
      </c>
      <c r="I371" s="59" t="s">
        <v>507</v>
      </c>
      <c r="J371" s="59" t="s">
        <v>508</v>
      </c>
      <c r="K371" s="59" t="s">
        <v>509</v>
      </c>
      <c r="L371" s="59" t="s">
        <v>508</v>
      </c>
      <c r="M371" s="59" t="s">
        <v>510</v>
      </c>
      <c r="N371" s="59" t="s">
        <v>508</v>
      </c>
      <c r="O371" s="69" t="s">
        <v>511</v>
      </c>
      <c r="P371" s="59" t="s">
        <v>512</v>
      </c>
      <c r="Q371" s="71" t="s">
        <v>513</v>
      </c>
      <c r="R371" s="59" t="s">
        <v>514</v>
      </c>
      <c r="S371" s="59">
        <v>260310</v>
      </c>
      <c r="T371" s="59" t="s">
        <v>30</v>
      </c>
      <c r="U371" s="26" t="s">
        <v>98</v>
      </c>
      <c r="V371" s="72" t="s">
        <v>30</v>
      </c>
      <c r="W371" s="102" t="s">
        <v>515</v>
      </c>
      <c r="X371" s="72" t="s">
        <v>33</v>
      </c>
      <c r="Y371" s="51" t="str">
        <f t="shared" si="5"/>
        <v>260310_TPNB500657_0174_AXXXXXXXXX</v>
      </c>
      <c r="Z371" s="51" t="s">
        <v>100</v>
      </c>
      <c r="AA371" s="51" t="s">
        <v>35</v>
      </c>
      <c r="AB371" s="26"/>
      <c r="AC371" s="26"/>
    </row>
    <row r="372" ht="28" spans="1:29">
      <c r="A372" s="26"/>
      <c r="B372" s="26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62"/>
      <c r="R372" s="59"/>
      <c r="S372" s="59">
        <v>260310</v>
      </c>
      <c r="T372" s="59" t="s">
        <v>30</v>
      </c>
      <c r="U372" s="51" t="s">
        <v>85</v>
      </c>
      <c r="V372" s="72" t="s">
        <v>30</v>
      </c>
      <c r="W372" s="74" t="s">
        <v>185</v>
      </c>
      <c r="X372" s="72" t="s">
        <v>33</v>
      </c>
      <c r="Y372" s="51" t="str">
        <f t="shared" si="5"/>
        <v>260310_TPNB500597_0165_AXXXXXXXXX</v>
      </c>
      <c r="Z372" s="51" t="s">
        <v>87</v>
      </c>
      <c r="AA372" s="51" t="s">
        <v>35</v>
      </c>
      <c r="AB372" s="26"/>
      <c r="AC372" s="26"/>
    </row>
    <row r="373" ht="28" spans="1:29">
      <c r="A373" s="26"/>
      <c r="B373" s="26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62"/>
      <c r="R373" s="59"/>
      <c r="S373" s="59">
        <v>260310</v>
      </c>
      <c r="T373" s="59" t="s">
        <v>30</v>
      </c>
      <c r="U373" s="51" t="s">
        <v>88</v>
      </c>
      <c r="V373" s="72" t="s">
        <v>30</v>
      </c>
      <c r="W373" s="40" t="s">
        <v>240</v>
      </c>
      <c r="X373" s="72" t="s">
        <v>33</v>
      </c>
      <c r="Y373" s="51" t="str">
        <f t="shared" si="5"/>
        <v>260310_TPNB500641_0175_AXXXXXXXXX</v>
      </c>
      <c r="Z373" s="51" t="s">
        <v>90</v>
      </c>
      <c r="AA373" s="51" t="s">
        <v>35</v>
      </c>
      <c r="AB373" s="26"/>
      <c r="AC373" s="26"/>
    </row>
    <row r="374" ht="28" spans="1:29">
      <c r="A374" s="26"/>
      <c r="B374" s="26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62"/>
      <c r="R374" s="59"/>
      <c r="S374" s="59">
        <v>260310</v>
      </c>
      <c r="T374" s="59" t="s">
        <v>30</v>
      </c>
      <c r="U374" s="51" t="s">
        <v>36</v>
      </c>
      <c r="V374" s="72" t="s">
        <v>30</v>
      </c>
      <c r="W374" s="102" t="s">
        <v>516</v>
      </c>
      <c r="X374" s="72" t="s">
        <v>33</v>
      </c>
      <c r="Y374" s="51" t="str">
        <f t="shared" si="5"/>
        <v>260310_NDX551406_RUO_0358_AXXXXXXXXX</v>
      </c>
      <c r="Z374" s="51" t="s">
        <v>38</v>
      </c>
      <c r="AA374" s="51" t="s">
        <v>39</v>
      </c>
      <c r="AB374" s="26"/>
      <c r="AC374" s="26"/>
    </row>
    <row r="375" ht="28" spans="1:29">
      <c r="A375" s="26"/>
      <c r="B375" s="26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62"/>
      <c r="R375" s="59"/>
      <c r="S375" s="59">
        <v>260310</v>
      </c>
      <c r="T375" s="59" t="s">
        <v>30</v>
      </c>
      <c r="U375" s="51" t="s">
        <v>92</v>
      </c>
      <c r="V375" s="72" t="s">
        <v>30</v>
      </c>
      <c r="W375" s="103" t="s">
        <v>337</v>
      </c>
      <c r="X375" s="72" t="s">
        <v>33</v>
      </c>
      <c r="Y375" s="51" t="str">
        <f t="shared" si="5"/>
        <v>260310_NDX550598_RUO_0126_AXXXXXXXXX</v>
      </c>
      <c r="Z375" s="51" t="s">
        <v>94</v>
      </c>
      <c r="AA375" s="51" t="s">
        <v>39</v>
      </c>
      <c r="AB375" s="26"/>
      <c r="AC375" s="26"/>
    </row>
    <row r="376" ht="28" spans="1:29">
      <c r="A376" s="26"/>
      <c r="B376" s="26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62"/>
      <c r="R376" s="59"/>
      <c r="S376" s="59">
        <v>260310</v>
      </c>
      <c r="T376" s="59" t="s">
        <v>30</v>
      </c>
      <c r="U376" s="51" t="s">
        <v>95</v>
      </c>
      <c r="V376" s="72" t="s">
        <v>30</v>
      </c>
      <c r="W376" s="103" t="s">
        <v>348</v>
      </c>
      <c r="X376" s="72" t="s">
        <v>33</v>
      </c>
      <c r="Y376" s="51" t="str">
        <f t="shared" si="5"/>
        <v>260310_NDX550778_RUO_0149_AXXXXXXXXX</v>
      </c>
      <c r="Z376" s="51" t="s">
        <v>97</v>
      </c>
      <c r="AA376" s="51" t="s">
        <v>39</v>
      </c>
      <c r="AB376" s="26"/>
      <c r="AC376" s="26"/>
    </row>
    <row r="377" ht="28" spans="1:29">
      <c r="A377" s="26"/>
      <c r="B377" s="26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62"/>
      <c r="R377" s="59"/>
      <c r="S377" s="59">
        <v>260310</v>
      </c>
      <c r="T377" s="59" t="s">
        <v>30</v>
      </c>
      <c r="U377" s="51" t="s">
        <v>85</v>
      </c>
      <c r="V377" s="72" t="s">
        <v>30</v>
      </c>
      <c r="W377" s="74" t="s">
        <v>449</v>
      </c>
      <c r="X377" s="72" t="s">
        <v>33</v>
      </c>
      <c r="Y377" s="51" t="str">
        <f t="shared" si="5"/>
        <v>260310_TPNB500597_0166_AXXXXXXXXX</v>
      </c>
      <c r="Z377" s="51" t="s">
        <v>87</v>
      </c>
      <c r="AA377" s="51" t="s">
        <v>35</v>
      </c>
      <c r="AB377" s="26"/>
      <c r="AC377" s="26"/>
    </row>
    <row r="378" ht="28" spans="1:29">
      <c r="A378" s="26"/>
      <c r="B378" s="26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62"/>
      <c r="R378" s="59"/>
      <c r="S378" s="59">
        <v>260310</v>
      </c>
      <c r="T378" s="59" t="s">
        <v>30</v>
      </c>
      <c r="U378" s="51" t="s">
        <v>88</v>
      </c>
      <c r="V378" s="72" t="s">
        <v>30</v>
      </c>
      <c r="W378" s="40" t="s">
        <v>517</v>
      </c>
      <c r="X378" s="72" t="s">
        <v>33</v>
      </c>
      <c r="Y378" s="51" t="str">
        <f t="shared" si="5"/>
        <v>260310_TPNB500641_0176_AXXXXXXXXX</v>
      </c>
      <c r="Z378" s="51" t="s">
        <v>90</v>
      </c>
      <c r="AA378" s="51" t="s">
        <v>35</v>
      </c>
      <c r="AB378" s="26"/>
      <c r="AC378" s="26"/>
    </row>
    <row r="379" ht="28" spans="1:29">
      <c r="A379" s="26"/>
      <c r="B379" s="26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62"/>
      <c r="R379" s="59"/>
      <c r="S379" s="59">
        <v>260310</v>
      </c>
      <c r="T379" s="59" t="s">
        <v>30</v>
      </c>
      <c r="U379" s="51" t="s">
        <v>92</v>
      </c>
      <c r="V379" s="72" t="s">
        <v>30</v>
      </c>
      <c r="W379" s="103" t="s">
        <v>346</v>
      </c>
      <c r="X379" s="72" t="s">
        <v>33</v>
      </c>
      <c r="Y379" s="51" t="str">
        <f t="shared" si="5"/>
        <v>260310_NDX550598_RUO_0127_AXXXXXXXXX</v>
      </c>
      <c r="Z379" s="51" t="s">
        <v>94</v>
      </c>
      <c r="AA379" s="51" t="s">
        <v>39</v>
      </c>
      <c r="AB379" s="26"/>
      <c r="AC379" s="26"/>
    </row>
    <row r="380" ht="28" spans="1:29">
      <c r="A380" s="26"/>
      <c r="B380" s="26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62"/>
      <c r="R380" s="59"/>
      <c r="S380" s="59">
        <v>260310</v>
      </c>
      <c r="T380" s="59" t="s">
        <v>30</v>
      </c>
      <c r="U380" s="51" t="s">
        <v>95</v>
      </c>
      <c r="V380" s="72" t="s">
        <v>30</v>
      </c>
      <c r="W380" s="103" t="s">
        <v>352</v>
      </c>
      <c r="X380" s="72" t="s">
        <v>33</v>
      </c>
      <c r="Y380" s="51" t="str">
        <f t="shared" si="5"/>
        <v>260310_NDX550778_RUO_0150_AXXXXXXXXX</v>
      </c>
      <c r="Z380" s="51" t="s">
        <v>97</v>
      </c>
      <c r="AA380" s="51" t="s">
        <v>39</v>
      </c>
      <c r="AB380" s="26"/>
      <c r="AC380" s="26"/>
    </row>
    <row r="381" ht="41" spans="1:29">
      <c r="A381" s="26"/>
      <c r="B381" s="26"/>
      <c r="C381" s="96" t="s">
        <v>518</v>
      </c>
      <c r="D381" s="97" t="s">
        <v>479</v>
      </c>
      <c r="E381" s="96" t="s">
        <v>480</v>
      </c>
      <c r="F381" s="97" t="s">
        <v>479</v>
      </c>
      <c r="G381" s="40" t="s">
        <v>481</v>
      </c>
      <c r="H381" s="97" t="s">
        <v>479</v>
      </c>
      <c r="I381" s="40" t="s">
        <v>482</v>
      </c>
      <c r="J381" s="97" t="s">
        <v>479</v>
      </c>
      <c r="K381" s="40" t="s">
        <v>483</v>
      </c>
      <c r="L381" s="97" t="s">
        <v>479</v>
      </c>
      <c r="M381" s="96" t="s">
        <v>519</v>
      </c>
      <c r="N381" s="97" t="s">
        <v>479</v>
      </c>
      <c r="O381" s="98" t="s">
        <v>485</v>
      </c>
      <c r="P381" s="40" t="s">
        <v>520</v>
      </c>
      <c r="Q381" s="97" t="s">
        <v>521</v>
      </c>
      <c r="R381" s="96" t="s">
        <v>514</v>
      </c>
      <c r="S381" s="96">
        <v>260310</v>
      </c>
      <c r="T381" s="59" t="s">
        <v>30</v>
      </c>
      <c r="U381" s="51" t="s">
        <v>36</v>
      </c>
      <c r="V381" s="72" t="s">
        <v>30</v>
      </c>
      <c r="W381" s="102" t="s">
        <v>522</v>
      </c>
      <c r="X381" s="72" t="s">
        <v>33</v>
      </c>
      <c r="Y381" s="51" t="str">
        <f t="shared" si="5"/>
        <v>260310_NDX551406_RUO_0359_AXXXXXXXXX</v>
      </c>
      <c r="Z381" s="51" t="s">
        <v>38</v>
      </c>
      <c r="AA381" s="40" t="s">
        <v>39</v>
      </c>
      <c r="AB381" s="26"/>
      <c r="AC381" s="26"/>
    </row>
    <row r="382" ht="41" spans="1:29">
      <c r="A382" s="26"/>
      <c r="B382" s="26"/>
      <c r="C382" s="96" t="s">
        <v>523</v>
      </c>
      <c r="D382" s="97" t="s">
        <v>490</v>
      </c>
      <c r="E382" s="96" t="s">
        <v>491</v>
      </c>
      <c r="F382" s="97" t="s">
        <v>490</v>
      </c>
      <c r="G382" s="40" t="s">
        <v>491</v>
      </c>
      <c r="H382" s="97" t="s">
        <v>490</v>
      </c>
      <c r="I382" s="40" t="s">
        <v>482</v>
      </c>
      <c r="J382" s="97" t="s">
        <v>490</v>
      </c>
      <c r="K382" s="40" t="s">
        <v>483</v>
      </c>
      <c r="L382" s="97" t="s">
        <v>490</v>
      </c>
      <c r="M382" s="96" t="s">
        <v>519</v>
      </c>
      <c r="N382" s="97" t="s">
        <v>490</v>
      </c>
      <c r="O382" s="98" t="s">
        <v>485</v>
      </c>
      <c r="P382" s="40" t="s">
        <v>524</v>
      </c>
      <c r="Q382" s="40"/>
      <c r="R382" s="96" t="s">
        <v>514</v>
      </c>
      <c r="S382" s="96">
        <v>260310</v>
      </c>
      <c r="T382" s="59" t="s">
        <v>30</v>
      </c>
      <c r="U382" s="51" t="s">
        <v>31</v>
      </c>
      <c r="V382" s="72" t="s">
        <v>30</v>
      </c>
      <c r="W382" s="102" t="s">
        <v>525</v>
      </c>
      <c r="X382" s="72" t="s">
        <v>33</v>
      </c>
      <c r="Y382" s="51" t="str">
        <f t="shared" si="5"/>
        <v>260310_TPNB500477_0241_AXXXXXXXXX</v>
      </c>
      <c r="Z382" s="51" t="s">
        <v>34</v>
      </c>
      <c r="AA382" s="40" t="s">
        <v>35</v>
      </c>
      <c r="AB382" s="26"/>
      <c r="AC382" s="26"/>
    </row>
    <row r="383" ht="10" customHeight="1" spans="1:29">
      <c r="A383" s="26"/>
      <c r="B383" s="26"/>
      <c r="C383" s="59" t="s">
        <v>505</v>
      </c>
      <c r="D383" s="59" t="s">
        <v>242</v>
      </c>
      <c r="E383" s="59" t="s">
        <v>505</v>
      </c>
      <c r="F383" s="59" t="s">
        <v>242</v>
      </c>
      <c r="G383" s="59" t="s">
        <v>506</v>
      </c>
      <c r="H383" s="59" t="s">
        <v>242</v>
      </c>
      <c r="I383" s="59" t="s">
        <v>526</v>
      </c>
      <c r="J383" s="59" t="s">
        <v>508</v>
      </c>
      <c r="K383" s="59" t="s">
        <v>527</v>
      </c>
      <c r="L383" s="59" t="s">
        <v>508</v>
      </c>
      <c r="M383" s="59" t="s">
        <v>528</v>
      </c>
      <c r="N383" s="59" t="s">
        <v>508</v>
      </c>
      <c r="O383" s="69" t="s">
        <v>529</v>
      </c>
      <c r="P383" s="59" t="s">
        <v>512</v>
      </c>
      <c r="Q383" s="71" t="s">
        <v>513</v>
      </c>
      <c r="R383" s="59" t="s">
        <v>530</v>
      </c>
      <c r="S383" s="59">
        <v>260311</v>
      </c>
      <c r="T383" s="59" t="s">
        <v>30</v>
      </c>
      <c r="U383" s="26" t="s">
        <v>98</v>
      </c>
      <c r="V383" s="72" t="s">
        <v>30</v>
      </c>
      <c r="W383" s="102" t="s">
        <v>517</v>
      </c>
      <c r="X383" s="72" t="s">
        <v>33</v>
      </c>
      <c r="Y383" s="51" t="str">
        <f t="shared" si="5"/>
        <v>260311_TPNB500657_0176_AXXXXXXXXX</v>
      </c>
      <c r="Z383" s="51" t="s">
        <v>100</v>
      </c>
      <c r="AA383" s="51" t="s">
        <v>35</v>
      </c>
      <c r="AB383" s="26"/>
      <c r="AC383" s="26"/>
    </row>
    <row r="384" ht="10" customHeight="1" spans="1:29">
      <c r="A384" s="26"/>
      <c r="B384" s="26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62"/>
      <c r="R384" s="59"/>
      <c r="S384" s="59">
        <v>260311</v>
      </c>
      <c r="T384" s="59" t="s">
        <v>30</v>
      </c>
      <c r="U384" s="51" t="s">
        <v>85</v>
      </c>
      <c r="V384" s="72" t="s">
        <v>30</v>
      </c>
      <c r="W384" s="74" t="s">
        <v>197</v>
      </c>
      <c r="X384" s="72" t="s">
        <v>33</v>
      </c>
      <c r="Y384" s="51" t="str">
        <f t="shared" si="5"/>
        <v>260311_TPNB500597_0167_AXXXXXXXXX</v>
      </c>
      <c r="Z384" s="51" t="s">
        <v>87</v>
      </c>
      <c r="AA384" s="51" t="s">
        <v>35</v>
      </c>
      <c r="AB384" s="26"/>
      <c r="AC384" s="26"/>
    </row>
    <row r="385" ht="10" customHeight="1" spans="1:29">
      <c r="A385" s="26"/>
      <c r="B385" s="26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62"/>
      <c r="R385" s="59"/>
      <c r="S385" s="59">
        <v>260311</v>
      </c>
      <c r="T385" s="59" t="s">
        <v>30</v>
      </c>
      <c r="U385" s="51" t="s">
        <v>88</v>
      </c>
      <c r="V385" s="72" t="s">
        <v>30</v>
      </c>
      <c r="W385" s="40" t="s">
        <v>249</v>
      </c>
      <c r="X385" s="72" t="s">
        <v>33</v>
      </c>
      <c r="Y385" s="51" t="str">
        <f t="shared" si="5"/>
        <v>260311_TPNB500641_0177_AXXXXXXXXX</v>
      </c>
      <c r="Z385" s="51" t="s">
        <v>90</v>
      </c>
      <c r="AA385" s="51" t="s">
        <v>35</v>
      </c>
      <c r="AB385" s="26"/>
      <c r="AC385" s="26"/>
    </row>
    <row r="386" ht="10" customHeight="1" spans="1:29">
      <c r="A386" s="26"/>
      <c r="B386" s="26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62"/>
      <c r="R386" s="59"/>
      <c r="S386" s="59">
        <v>260311</v>
      </c>
      <c r="T386" s="59" t="s">
        <v>30</v>
      </c>
      <c r="U386" s="51" t="s">
        <v>36</v>
      </c>
      <c r="V386" s="72" t="s">
        <v>30</v>
      </c>
      <c r="W386" s="102" t="s">
        <v>531</v>
      </c>
      <c r="X386" s="72" t="s">
        <v>33</v>
      </c>
      <c r="Y386" s="51" t="str">
        <f t="shared" ref="Y386:Y449" si="6">S386&amp;T386&amp;U386&amp;V386&amp;W386&amp;X386</f>
        <v>260311_NDX551406_RUO_0360_AXXXXXXXXX</v>
      </c>
      <c r="Z386" s="51" t="s">
        <v>38</v>
      </c>
      <c r="AA386" s="51" t="s">
        <v>39</v>
      </c>
      <c r="AB386" s="26"/>
      <c r="AC386" s="26"/>
    </row>
    <row r="387" ht="10" customHeight="1" spans="1:29">
      <c r="A387" s="26"/>
      <c r="B387" s="26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62"/>
      <c r="R387" s="59"/>
      <c r="S387" s="59">
        <v>260311</v>
      </c>
      <c r="T387" s="59" t="s">
        <v>30</v>
      </c>
      <c r="U387" s="51" t="s">
        <v>92</v>
      </c>
      <c r="V387" s="72" t="s">
        <v>30</v>
      </c>
      <c r="W387" s="103" t="s">
        <v>350</v>
      </c>
      <c r="X387" s="72" t="s">
        <v>33</v>
      </c>
      <c r="Y387" s="51" t="str">
        <f t="shared" si="6"/>
        <v>260311_NDX550598_RUO_0128_AXXXXXXXXX</v>
      </c>
      <c r="Z387" s="51" t="s">
        <v>94</v>
      </c>
      <c r="AA387" s="51" t="s">
        <v>39</v>
      </c>
      <c r="AB387" s="26"/>
      <c r="AC387" s="26"/>
    </row>
    <row r="388" ht="10" customHeight="1" spans="1:29">
      <c r="A388" s="26"/>
      <c r="B388" s="26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62"/>
      <c r="R388" s="59"/>
      <c r="S388" s="59">
        <v>260311</v>
      </c>
      <c r="T388" s="59" t="s">
        <v>30</v>
      </c>
      <c r="U388" s="51" t="s">
        <v>95</v>
      </c>
      <c r="V388" s="72" t="s">
        <v>30</v>
      </c>
      <c r="W388" s="103" t="s">
        <v>360</v>
      </c>
      <c r="X388" s="72" t="s">
        <v>33</v>
      </c>
      <c r="Y388" s="51" t="str">
        <f t="shared" si="6"/>
        <v>260311_NDX550778_RUO_0151_AXXXXXXXXX</v>
      </c>
      <c r="Z388" s="51" t="s">
        <v>97</v>
      </c>
      <c r="AA388" s="51" t="s">
        <v>39</v>
      </c>
      <c r="AB388" s="26"/>
      <c r="AC388" s="26"/>
    </row>
    <row r="389" ht="10" customHeight="1" spans="1:29">
      <c r="A389" s="26"/>
      <c r="B389" s="26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62"/>
      <c r="R389" s="59"/>
      <c r="S389" s="59">
        <v>260311</v>
      </c>
      <c r="T389" s="59" t="s">
        <v>30</v>
      </c>
      <c r="U389" s="51" t="s">
        <v>85</v>
      </c>
      <c r="V389" s="72" t="s">
        <v>30</v>
      </c>
      <c r="W389" s="74" t="s">
        <v>532</v>
      </c>
      <c r="X389" s="72" t="s">
        <v>33</v>
      </c>
      <c r="Y389" s="51" t="str">
        <f t="shared" si="6"/>
        <v>260311_TPNB500597_0168_AXXXXXXXXX</v>
      </c>
      <c r="Z389" s="51" t="s">
        <v>87</v>
      </c>
      <c r="AA389" s="51" t="s">
        <v>35</v>
      </c>
      <c r="AB389" s="26"/>
      <c r="AC389" s="26"/>
    </row>
    <row r="390" ht="10" customHeight="1" spans="1:29">
      <c r="A390" s="26"/>
      <c r="B390" s="26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62"/>
      <c r="R390" s="59"/>
      <c r="S390" s="59">
        <v>260311</v>
      </c>
      <c r="T390" s="59" t="s">
        <v>30</v>
      </c>
      <c r="U390" s="51" t="s">
        <v>88</v>
      </c>
      <c r="V390" s="72" t="s">
        <v>30</v>
      </c>
      <c r="W390" s="40" t="s">
        <v>250</v>
      </c>
      <c r="X390" s="72" t="s">
        <v>33</v>
      </c>
      <c r="Y390" s="51" t="str">
        <f t="shared" si="6"/>
        <v>260311_TPNB500641_0178_AXXXXXXXXX</v>
      </c>
      <c r="Z390" s="51" t="s">
        <v>90</v>
      </c>
      <c r="AA390" s="51" t="s">
        <v>35</v>
      </c>
      <c r="AB390" s="26"/>
      <c r="AC390" s="26"/>
    </row>
    <row r="391" ht="10" customHeight="1" spans="1:29">
      <c r="A391" s="26"/>
      <c r="B391" s="26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62"/>
      <c r="R391" s="59"/>
      <c r="S391" s="59">
        <v>260311</v>
      </c>
      <c r="T391" s="59" t="s">
        <v>30</v>
      </c>
      <c r="U391" s="51" t="s">
        <v>92</v>
      </c>
      <c r="V391" s="72" t="s">
        <v>30</v>
      </c>
      <c r="W391" s="103" t="s">
        <v>322</v>
      </c>
      <c r="X391" s="72" t="s">
        <v>33</v>
      </c>
      <c r="Y391" s="51" t="str">
        <f t="shared" si="6"/>
        <v>260311_NDX550598_RUO_0129_AXXXXXXXXX</v>
      </c>
      <c r="Z391" s="51" t="s">
        <v>94</v>
      </c>
      <c r="AA391" s="51" t="s">
        <v>39</v>
      </c>
      <c r="AB391" s="26"/>
      <c r="AC391" s="26"/>
    </row>
    <row r="392" ht="10" customHeight="1" spans="1:29">
      <c r="A392" s="26"/>
      <c r="B392" s="26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62"/>
      <c r="R392" s="59"/>
      <c r="S392" s="59">
        <v>260311</v>
      </c>
      <c r="T392" s="59" t="s">
        <v>30</v>
      </c>
      <c r="U392" s="51" t="s">
        <v>95</v>
      </c>
      <c r="V392" s="72" t="s">
        <v>30</v>
      </c>
      <c r="W392" s="103" t="s">
        <v>363</v>
      </c>
      <c r="X392" s="72" t="s">
        <v>33</v>
      </c>
      <c r="Y392" s="51" t="str">
        <f t="shared" si="6"/>
        <v>260311_NDX550778_RUO_0152_AXXXXXXXXX</v>
      </c>
      <c r="Z392" s="51" t="s">
        <v>97</v>
      </c>
      <c r="AA392" s="51" t="s">
        <v>39</v>
      </c>
      <c r="AB392" s="26"/>
      <c r="AC392" s="26"/>
    </row>
    <row r="393" ht="10" customHeight="1" spans="1:29">
      <c r="A393" s="26"/>
      <c r="B393" s="26"/>
      <c r="C393" s="96" t="s">
        <v>533</v>
      </c>
      <c r="D393" s="97" t="s">
        <v>479</v>
      </c>
      <c r="E393" s="96" t="s">
        <v>480</v>
      </c>
      <c r="F393" s="97" t="s">
        <v>479</v>
      </c>
      <c r="G393" s="40" t="s">
        <v>481</v>
      </c>
      <c r="H393" s="97" t="s">
        <v>479</v>
      </c>
      <c r="I393" s="40" t="s">
        <v>482</v>
      </c>
      <c r="J393" s="97" t="s">
        <v>479</v>
      </c>
      <c r="K393" s="40" t="s">
        <v>483</v>
      </c>
      <c r="L393" s="97" t="s">
        <v>479</v>
      </c>
      <c r="M393" s="96" t="s">
        <v>534</v>
      </c>
      <c r="N393" s="97" t="s">
        <v>479</v>
      </c>
      <c r="O393" s="98" t="s">
        <v>485</v>
      </c>
      <c r="P393" s="40" t="s">
        <v>520</v>
      </c>
      <c r="Q393" s="97" t="s">
        <v>535</v>
      </c>
      <c r="R393" s="96" t="s">
        <v>530</v>
      </c>
      <c r="S393" s="96">
        <v>260311</v>
      </c>
      <c r="T393" s="59" t="s">
        <v>30</v>
      </c>
      <c r="U393" s="51" t="s">
        <v>36</v>
      </c>
      <c r="V393" s="72" t="s">
        <v>30</v>
      </c>
      <c r="W393" s="102" t="s">
        <v>536</v>
      </c>
      <c r="X393" s="72" t="s">
        <v>33</v>
      </c>
      <c r="Y393" s="51" t="str">
        <f t="shared" si="6"/>
        <v>260311_NDX551406_RUO_0361_AXXXXXXXXX</v>
      </c>
      <c r="Z393" s="51" t="s">
        <v>38</v>
      </c>
      <c r="AA393" s="40" t="s">
        <v>39</v>
      </c>
      <c r="AB393" s="26"/>
      <c r="AC393" s="26"/>
    </row>
    <row r="394" ht="10" customHeight="1" spans="1:29">
      <c r="A394" s="26"/>
      <c r="B394" s="26"/>
      <c r="C394" s="96" t="s">
        <v>537</v>
      </c>
      <c r="D394" s="97" t="s">
        <v>490</v>
      </c>
      <c r="E394" s="96" t="s">
        <v>491</v>
      </c>
      <c r="F394" s="97" t="s">
        <v>490</v>
      </c>
      <c r="G394" s="40" t="s">
        <v>491</v>
      </c>
      <c r="H394" s="97" t="s">
        <v>490</v>
      </c>
      <c r="I394" s="40" t="s">
        <v>482</v>
      </c>
      <c r="J394" s="97" t="s">
        <v>490</v>
      </c>
      <c r="K394" s="40" t="s">
        <v>483</v>
      </c>
      <c r="L394" s="97" t="s">
        <v>490</v>
      </c>
      <c r="M394" s="96" t="s">
        <v>534</v>
      </c>
      <c r="N394" s="97" t="s">
        <v>490</v>
      </c>
      <c r="O394" s="98" t="s">
        <v>485</v>
      </c>
      <c r="P394" s="40" t="s">
        <v>524</v>
      </c>
      <c r="Q394" s="40"/>
      <c r="R394" s="96" t="s">
        <v>530</v>
      </c>
      <c r="S394" s="96">
        <v>260311</v>
      </c>
      <c r="T394" s="59" t="s">
        <v>30</v>
      </c>
      <c r="U394" s="51" t="s">
        <v>31</v>
      </c>
      <c r="V394" s="72" t="s">
        <v>30</v>
      </c>
      <c r="W394" s="102" t="s">
        <v>538</v>
      </c>
      <c r="X394" s="72" t="s">
        <v>33</v>
      </c>
      <c r="Y394" s="51" t="str">
        <f t="shared" si="6"/>
        <v>260311_TPNB500477_0243_AXXXXXXXXX</v>
      </c>
      <c r="Z394" s="51" t="s">
        <v>34</v>
      </c>
      <c r="AA394" s="40" t="s">
        <v>35</v>
      </c>
      <c r="AB394" s="26"/>
      <c r="AC394" s="26"/>
    </row>
    <row r="395" ht="10" customHeight="1" spans="1:29">
      <c r="A395" s="26"/>
      <c r="B395" s="26"/>
      <c r="C395" s="59" t="s">
        <v>505</v>
      </c>
      <c r="D395" s="59" t="s">
        <v>242</v>
      </c>
      <c r="E395" s="59" t="s">
        <v>505</v>
      </c>
      <c r="F395" s="59" t="s">
        <v>242</v>
      </c>
      <c r="G395" s="59" t="s">
        <v>506</v>
      </c>
      <c r="H395" s="59" t="s">
        <v>242</v>
      </c>
      <c r="I395" s="59" t="s">
        <v>539</v>
      </c>
      <c r="J395" s="59" t="s">
        <v>508</v>
      </c>
      <c r="K395" s="59" t="s">
        <v>540</v>
      </c>
      <c r="L395" s="59" t="s">
        <v>508</v>
      </c>
      <c r="M395" s="59" t="s">
        <v>541</v>
      </c>
      <c r="N395" s="59" t="s">
        <v>508</v>
      </c>
      <c r="O395" s="69" t="s">
        <v>542</v>
      </c>
      <c r="P395" s="59" t="s">
        <v>512</v>
      </c>
      <c r="Q395" s="71" t="s">
        <v>513</v>
      </c>
      <c r="R395" s="59" t="s">
        <v>543</v>
      </c>
      <c r="S395" s="59">
        <v>260312</v>
      </c>
      <c r="T395" s="59" t="s">
        <v>30</v>
      </c>
      <c r="U395" s="26" t="s">
        <v>98</v>
      </c>
      <c r="V395" s="72" t="s">
        <v>30</v>
      </c>
      <c r="W395" s="102" t="s">
        <v>250</v>
      </c>
      <c r="X395" s="72" t="s">
        <v>33</v>
      </c>
      <c r="Y395" s="51" t="str">
        <f t="shared" si="6"/>
        <v>260312_TPNB500657_0178_AXXXXXXXXX</v>
      </c>
      <c r="Z395" s="51" t="s">
        <v>100</v>
      </c>
      <c r="AA395" s="51" t="s">
        <v>35</v>
      </c>
      <c r="AB395" s="26"/>
      <c r="AC395" s="26"/>
    </row>
    <row r="396" ht="10" customHeight="1" spans="1:29">
      <c r="A396" s="26"/>
      <c r="B396" s="26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62"/>
      <c r="R396" s="59"/>
      <c r="S396" s="59">
        <v>260312</v>
      </c>
      <c r="T396" s="59" t="s">
        <v>30</v>
      </c>
      <c r="U396" s="51" t="s">
        <v>85</v>
      </c>
      <c r="V396" s="72" t="s">
        <v>30</v>
      </c>
      <c r="W396" s="74" t="s">
        <v>209</v>
      </c>
      <c r="X396" s="72" t="s">
        <v>33</v>
      </c>
      <c r="Y396" s="51" t="str">
        <f t="shared" si="6"/>
        <v>260312_TPNB500597_0169_AXXXXXXXXX</v>
      </c>
      <c r="Z396" s="51" t="s">
        <v>87</v>
      </c>
      <c r="AA396" s="51" t="s">
        <v>35</v>
      </c>
      <c r="AB396" s="26"/>
      <c r="AC396" s="26"/>
    </row>
    <row r="397" ht="10" customHeight="1" spans="1:29">
      <c r="A397" s="26"/>
      <c r="B397" s="26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62"/>
      <c r="R397" s="59"/>
      <c r="S397" s="59">
        <v>260312</v>
      </c>
      <c r="T397" s="59" t="s">
        <v>30</v>
      </c>
      <c r="U397" s="51" t="s">
        <v>88</v>
      </c>
      <c r="V397" s="72" t="s">
        <v>30</v>
      </c>
      <c r="W397" s="40" t="s">
        <v>275</v>
      </c>
      <c r="X397" s="72" t="s">
        <v>33</v>
      </c>
      <c r="Y397" s="51" t="str">
        <f t="shared" si="6"/>
        <v>260312_TPNB500641_0179_AXXXXXXXXX</v>
      </c>
      <c r="Z397" s="51" t="s">
        <v>90</v>
      </c>
      <c r="AA397" s="51" t="s">
        <v>35</v>
      </c>
      <c r="AB397" s="26"/>
      <c r="AC397" s="26"/>
    </row>
    <row r="398" ht="10" customHeight="1" spans="1:29">
      <c r="A398" s="26"/>
      <c r="B398" s="26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62"/>
      <c r="R398" s="59"/>
      <c r="S398" s="59">
        <v>260312</v>
      </c>
      <c r="T398" s="59" t="s">
        <v>30</v>
      </c>
      <c r="U398" s="51" t="s">
        <v>36</v>
      </c>
      <c r="V398" s="72" t="s">
        <v>30</v>
      </c>
      <c r="W398" s="102" t="s">
        <v>544</v>
      </c>
      <c r="X398" s="72" t="s">
        <v>33</v>
      </c>
      <c r="Y398" s="51" t="str">
        <f t="shared" si="6"/>
        <v>260312_NDX551406_RUO_0362_AXXXXXXXXX</v>
      </c>
      <c r="Z398" s="51" t="s">
        <v>38</v>
      </c>
      <c r="AA398" s="51" t="s">
        <v>39</v>
      </c>
      <c r="AB398" s="26"/>
      <c r="AC398" s="26"/>
    </row>
    <row r="399" ht="10" customHeight="1" spans="1:29">
      <c r="A399" s="26"/>
      <c r="B399" s="26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62"/>
      <c r="R399" s="59"/>
      <c r="S399" s="59">
        <v>260312</v>
      </c>
      <c r="T399" s="59" t="s">
        <v>30</v>
      </c>
      <c r="U399" s="51" t="s">
        <v>92</v>
      </c>
      <c r="V399" s="72" t="s">
        <v>30</v>
      </c>
      <c r="W399" s="103" t="s">
        <v>325</v>
      </c>
      <c r="X399" s="72" t="s">
        <v>33</v>
      </c>
      <c r="Y399" s="51" t="str">
        <f t="shared" si="6"/>
        <v>260312_NDX550598_RUO_0130_AXXXXXXXXX</v>
      </c>
      <c r="Z399" s="51" t="s">
        <v>94</v>
      </c>
      <c r="AA399" s="51" t="s">
        <v>39</v>
      </c>
      <c r="AB399" s="26"/>
      <c r="AC399" s="26"/>
    </row>
    <row r="400" ht="10" customHeight="1" spans="1:29">
      <c r="A400" s="26"/>
      <c r="B400" s="26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62"/>
      <c r="R400" s="59"/>
      <c r="S400" s="59">
        <v>260312</v>
      </c>
      <c r="T400" s="59" t="s">
        <v>30</v>
      </c>
      <c r="U400" s="51" t="s">
        <v>95</v>
      </c>
      <c r="V400" s="72" t="s">
        <v>30</v>
      </c>
      <c r="W400" s="103" t="s">
        <v>84</v>
      </c>
      <c r="X400" s="72" t="s">
        <v>33</v>
      </c>
      <c r="Y400" s="51" t="str">
        <f t="shared" si="6"/>
        <v>260312_NDX550778_RUO_0153_AXXXXXXXXX</v>
      </c>
      <c r="Z400" s="51" t="s">
        <v>97</v>
      </c>
      <c r="AA400" s="51" t="s">
        <v>39</v>
      </c>
      <c r="AB400" s="26"/>
      <c r="AC400" s="26"/>
    </row>
    <row r="401" ht="10" customHeight="1" spans="1:29">
      <c r="A401" s="26"/>
      <c r="B401" s="26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62"/>
      <c r="R401" s="59"/>
      <c r="S401" s="59">
        <v>260312</v>
      </c>
      <c r="T401" s="59" t="s">
        <v>30</v>
      </c>
      <c r="U401" s="51" t="s">
        <v>85</v>
      </c>
      <c r="V401" s="72" t="s">
        <v>30</v>
      </c>
      <c r="W401" s="74" t="s">
        <v>545</v>
      </c>
      <c r="X401" s="72" t="s">
        <v>33</v>
      </c>
      <c r="Y401" s="51" t="str">
        <f t="shared" si="6"/>
        <v>260312_TPNB500597_0170_AXXXXXXXXX</v>
      </c>
      <c r="Z401" s="51" t="s">
        <v>87</v>
      </c>
      <c r="AA401" s="51" t="s">
        <v>35</v>
      </c>
      <c r="AB401" s="26"/>
      <c r="AC401" s="26"/>
    </row>
    <row r="402" ht="10" customHeight="1" spans="1:29">
      <c r="A402" s="26"/>
      <c r="B402" s="26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62"/>
      <c r="R402" s="59"/>
      <c r="S402" s="59">
        <v>260312</v>
      </c>
      <c r="T402" s="59" t="s">
        <v>30</v>
      </c>
      <c r="U402" s="51" t="s">
        <v>88</v>
      </c>
      <c r="V402" s="72" t="s">
        <v>30</v>
      </c>
      <c r="W402" s="40" t="s">
        <v>276</v>
      </c>
      <c r="X402" s="72" t="s">
        <v>33</v>
      </c>
      <c r="Y402" s="51" t="str">
        <f t="shared" si="6"/>
        <v>260312_TPNB500641_0180_AXXXXXXXXX</v>
      </c>
      <c r="Z402" s="51" t="s">
        <v>90</v>
      </c>
      <c r="AA402" s="51" t="s">
        <v>35</v>
      </c>
      <c r="AB402" s="26"/>
      <c r="AC402" s="26"/>
    </row>
    <row r="403" ht="10" customHeight="1" spans="1:29">
      <c r="A403" s="26"/>
      <c r="B403" s="26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62"/>
      <c r="R403" s="59"/>
      <c r="S403" s="59">
        <v>260312</v>
      </c>
      <c r="T403" s="59" t="s">
        <v>30</v>
      </c>
      <c r="U403" s="51" t="s">
        <v>92</v>
      </c>
      <c r="V403" s="72" t="s">
        <v>30</v>
      </c>
      <c r="W403" s="103" t="s">
        <v>334</v>
      </c>
      <c r="X403" s="72" t="s">
        <v>33</v>
      </c>
      <c r="Y403" s="51" t="str">
        <f t="shared" si="6"/>
        <v>260312_NDX550598_RUO_0131_AXXXXXXXXX</v>
      </c>
      <c r="Z403" s="51" t="s">
        <v>94</v>
      </c>
      <c r="AA403" s="51" t="s">
        <v>39</v>
      </c>
      <c r="AB403" s="26"/>
      <c r="AC403" s="26"/>
    </row>
    <row r="404" ht="10" customHeight="1" spans="1:29">
      <c r="A404" s="26"/>
      <c r="B404" s="26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62"/>
      <c r="R404" s="59"/>
      <c r="S404" s="59">
        <v>260312</v>
      </c>
      <c r="T404" s="59" t="s">
        <v>30</v>
      </c>
      <c r="U404" s="51" t="s">
        <v>95</v>
      </c>
      <c r="V404" s="72" t="s">
        <v>30</v>
      </c>
      <c r="W404" s="103" t="s">
        <v>391</v>
      </c>
      <c r="X404" s="72" t="s">
        <v>33</v>
      </c>
      <c r="Y404" s="51" t="str">
        <f t="shared" si="6"/>
        <v>260312_NDX550778_RUO_0154_AXXXXXXXXX</v>
      </c>
      <c r="Z404" s="51" t="s">
        <v>97</v>
      </c>
      <c r="AA404" s="51" t="s">
        <v>39</v>
      </c>
      <c r="AB404" s="26"/>
      <c r="AC404" s="26"/>
    </row>
    <row r="405" ht="10" customHeight="1" spans="1:29">
      <c r="A405" s="26"/>
      <c r="B405" s="26"/>
      <c r="C405" s="96" t="s">
        <v>546</v>
      </c>
      <c r="D405" s="97" t="s">
        <v>479</v>
      </c>
      <c r="E405" s="96" t="s">
        <v>480</v>
      </c>
      <c r="F405" s="97" t="s">
        <v>479</v>
      </c>
      <c r="G405" s="40" t="s">
        <v>481</v>
      </c>
      <c r="H405" s="97" t="s">
        <v>479</v>
      </c>
      <c r="I405" s="40" t="s">
        <v>482</v>
      </c>
      <c r="J405" s="97" t="s">
        <v>479</v>
      </c>
      <c r="K405" s="40" t="s">
        <v>483</v>
      </c>
      <c r="L405" s="97" t="s">
        <v>479</v>
      </c>
      <c r="M405" s="96" t="s">
        <v>547</v>
      </c>
      <c r="N405" s="97" t="s">
        <v>479</v>
      </c>
      <c r="O405" s="98" t="s">
        <v>485</v>
      </c>
      <c r="P405" s="40" t="s">
        <v>486</v>
      </c>
      <c r="Q405" s="97" t="s">
        <v>548</v>
      </c>
      <c r="R405" s="96" t="s">
        <v>543</v>
      </c>
      <c r="S405" s="96">
        <v>260312</v>
      </c>
      <c r="T405" s="59" t="s">
        <v>30</v>
      </c>
      <c r="U405" s="51" t="s">
        <v>31</v>
      </c>
      <c r="V405" s="72" t="s">
        <v>30</v>
      </c>
      <c r="W405" s="102" t="s">
        <v>549</v>
      </c>
      <c r="X405" s="72" t="s">
        <v>33</v>
      </c>
      <c r="Y405" s="51" t="str">
        <f t="shared" si="6"/>
        <v>260312_TPNB500477_0245_AXXXXXXXXX</v>
      </c>
      <c r="Z405" s="51" t="s">
        <v>34</v>
      </c>
      <c r="AA405" s="40" t="s">
        <v>35</v>
      </c>
      <c r="AB405" s="26"/>
      <c r="AC405" s="26"/>
    </row>
    <row r="406" ht="10" customHeight="1" spans="1:29">
      <c r="A406" s="26"/>
      <c r="B406" s="26"/>
      <c r="C406" s="96" t="s">
        <v>550</v>
      </c>
      <c r="D406" s="97" t="s">
        <v>490</v>
      </c>
      <c r="E406" s="96" t="s">
        <v>491</v>
      </c>
      <c r="F406" s="97" t="s">
        <v>490</v>
      </c>
      <c r="G406" s="40" t="s">
        <v>491</v>
      </c>
      <c r="H406" s="97" t="s">
        <v>490</v>
      </c>
      <c r="I406" s="40" t="s">
        <v>482</v>
      </c>
      <c r="J406" s="97" t="s">
        <v>490</v>
      </c>
      <c r="K406" s="40" t="s">
        <v>483</v>
      </c>
      <c r="L406" s="97" t="s">
        <v>490</v>
      </c>
      <c r="M406" s="96" t="s">
        <v>547</v>
      </c>
      <c r="N406" s="97" t="s">
        <v>490</v>
      </c>
      <c r="O406" s="98" t="s">
        <v>485</v>
      </c>
      <c r="P406" s="40" t="s">
        <v>492</v>
      </c>
      <c r="Q406" s="40"/>
      <c r="R406" s="96" t="s">
        <v>543</v>
      </c>
      <c r="S406" s="96">
        <v>260312</v>
      </c>
      <c r="T406" s="59" t="s">
        <v>30</v>
      </c>
      <c r="U406" s="51" t="s">
        <v>36</v>
      </c>
      <c r="V406" s="72" t="s">
        <v>30</v>
      </c>
      <c r="W406" s="102" t="s">
        <v>551</v>
      </c>
      <c r="X406" s="72" t="s">
        <v>33</v>
      </c>
      <c r="Y406" s="51" t="str">
        <f t="shared" si="6"/>
        <v>260312_NDX551406_RUO_0363_AXXXXXXXXX</v>
      </c>
      <c r="Z406" s="51" t="s">
        <v>38</v>
      </c>
      <c r="AA406" s="40" t="s">
        <v>39</v>
      </c>
      <c r="AB406" s="26"/>
      <c r="AC406" s="26"/>
    </row>
    <row r="407" ht="10" customHeight="1" spans="1:29">
      <c r="A407" s="26"/>
      <c r="B407" s="26"/>
      <c r="C407" s="59" t="s">
        <v>505</v>
      </c>
      <c r="D407" s="59" t="s">
        <v>242</v>
      </c>
      <c r="E407" s="59" t="s">
        <v>505</v>
      </c>
      <c r="F407" s="59" t="s">
        <v>242</v>
      </c>
      <c r="G407" s="59" t="s">
        <v>506</v>
      </c>
      <c r="H407" s="59" t="s">
        <v>242</v>
      </c>
      <c r="I407" s="59" t="s">
        <v>552</v>
      </c>
      <c r="J407" s="59" t="s">
        <v>508</v>
      </c>
      <c r="K407" s="59" t="s">
        <v>553</v>
      </c>
      <c r="L407" s="59" t="s">
        <v>508</v>
      </c>
      <c r="M407" s="59" t="s">
        <v>554</v>
      </c>
      <c r="N407" s="59" t="s">
        <v>508</v>
      </c>
      <c r="O407" s="69" t="s">
        <v>555</v>
      </c>
      <c r="P407" s="59" t="s">
        <v>512</v>
      </c>
      <c r="Q407" s="71" t="s">
        <v>513</v>
      </c>
      <c r="R407" s="59" t="s">
        <v>556</v>
      </c>
      <c r="S407" s="59">
        <v>260313</v>
      </c>
      <c r="T407" s="59" t="s">
        <v>30</v>
      </c>
      <c r="U407" s="26" t="s">
        <v>98</v>
      </c>
      <c r="V407" s="72" t="s">
        <v>30</v>
      </c>
      <c r="W407" s="102" t="s">
        <v>276</v>
      </c>
      <c r="X407" s="72" t="s">
        <v>33</v>
      </c>
      <c r="Y407" s="51" t="str">
        <f t="shared" si="6"/>
        <v>260313_TPNB500657_0180_AXXXXXXXXX</v>
      </c>
      <c r="Z407" s="51" t="s">
        <v>100</v>
      </c>
      <c r="AA407" s="51" t="s">
        <v>35</v>
      </c>
      <c r="AB407" s="26"/>
      <c r="AC407" s="26"/>
    </row>
    <row r="408" ht="10" customHeight="1" spans="1:29">
      <c r="A408" s="26"/>
      <c r="B408" s="26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62"/>
      <c r="R408" s="59"/>
      <c r="S408" s="59">
        <v>260313</v>
      </c>
      <c r="T408" s="59" t="s">
        <v>30</v>
      </c>
      <c r="U408" s="51" t="s">
        <v>85</v>
      </c>
      <c r="V408" s="72" t="s">
        <v>30</v>
      </c>
      <c r="W408" s="74" t="s">
        <v>220</v>
      </c>
      <c r="X408" s="72" t="s">
        <v>33</v>
      </c>
      <c r="Y408" s="51" t="str">
        <f t="shared" si="6"/>
        <v>260313_TPNB500597_0171_AXXXXXXXXX</v>
      </c>
      <c r="Z408" s="51" t="s">
        <v>87</v>
      </c>
      <c r="AA408" s="51" t="s">
        <v>35</v>
      </c>
      <c r="AB408" s="26"/>
      <c r="AC408" s="26"/>
    </row>
    <row r="409" ht="10" customHeight="1" spans="1:29">
      <c r="A409" s="26"/>
      <c r="B409" s="26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62"/>
      <c r="R409" s="59"/>
      <c r="S409" s="59">
        <v>260313</v>
      </c>
      <c r="T409" s="59" t="s">
        <v>30</v>
      </c>
      <c r="U409" s="51" t="s">
        <v>88</v>
      </c>
      <c r="V409" s="72" t="s">
        <v>30</v>
      </c>
      <c r="W409" s="40" t="s">
        <v>282</v>
      </c>
      <c r="X409" s="72" t="s">
        <v>33</v>
      </c>
      <c r="Y409" s="51" t="str">
        <f t="shared" si="6"/>
        <v>260313_TPNB500641_0181_AXXXXXXXXX</v>
      </c>
      <c r="Z409" s="51" t="s">
        <v>90</v>
      </c>
      <c r="AA409" s="51" t="s">
        <v>35</v>
      </c>
      <c r="AB409" s="26"/>
      <c r="AC409" s="26"/>
    </row>
    <row r="410" ht="10" customHeight="1" spans="1:29">
      <c r="A410" s="26"/>
      <c r="B410" s="26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62"/>
      <c r="R410" s="59"/>
      <c r="S410" s="59">
        <v>260313</v>
      </c>
      <c r="T410" s="59" t="s">
        <v>30</v>
      </c>
      <c r="U410" s="51" t="s">
        <v>36</v>
      </c>
      <c r="V410" s="72" t="s">
        <v>30</v>
      </c>
      <c r="W410" s="102" t="s">
        <v>557</v>
      </c>
      <c r="X410" s="72" t="s">
        <v>33</v>
      </c>
      <c r="Y410" s="51" t="str">
        <f t="shared" si="6"/>
        <v>260313_NDX551406_RUO_0364_AXXXXXXXXX</v>
      </c>
      <c r="Z410" s="51" t="s">
        <v>38</v>
      </c>
      <c r="AA410" s="51" t="s">
        <v>39</v>
      </c>
      <c r="AB410" s="26"/>
      <c r="AC410" s="26"/>
    </row>
    <row r="411" ht="10" customHeight="1" spans="1:29">
      <c r="A411" s="26"/>
      <c r="B411" s="26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62"/>
      <c r="R411" s="59"/>
      <c r="S411" s="59">
        <v>260313</v>
      </c>
      <c r="T411" s="59" t="s">
        <v>30</v>
      </c>
      <c r="U411" s="51" t="s">
        <v>92</v>
      </c>
      <c r="V411" s="72" t="s">
        <v>30</v>
      </c>
      <c r="W411" s="103" t="s">
        <v>338</v>
      </c>
      <c r="X411" s="72" t="s">
        <v>33</v>
      </c>
      <c r="Y411" s="51" t="str">
        <f t="shared" si="6"/>
        <v>260313_NDX550598_RUO_0132_AXXXXXXXXX</v>
      </c>
      <c r="Z411" s="51" t="s">
        <v>94</v>
      </c>
      <c r="AA411" s="51" t="s">
        <v>39</v>
      </c>
      <c r="AB411" s="26"/>
      <c r="AC411" s="26"/>
    </row>
    <row r="412" ht="10" customHeight="1" spans="1:29">
      <c r="A412" s="26"/>
      <c r="B412" s="26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62"/>
      <c r="R412" s="59"/>
      <c r="S412" s="59">
        <v>260313</v>
      </c>
      <c r="T412" s="59" t="s">
        <v>30</v>
      </c>
      <c r="U412" s="51" t="s">
        <v>95</v>
      </c>
      <c r="V412" s="72" t="s">
        <v>30</v>
      </c>
      <c r="W412" s="103" t="s">
        <v>115</v>
      </c>
      <c r="X412" s="72" t="s">
        <v>33</v>
      </c>
      <c r="Y412" s="51" t="str">
        <f t="shared" si="6"/>
        <v>260313_NDX550778_RUO_0155_AXXXXXXXXX</v>
      </c>
      <c r="Z412" s="51" t="s">
        <v>97</v>
      </c>
      <c r="AA412" s="51" t="s">
        <v>39</v>
      </c>
      <c r="AB412" s="26"/>
      <c r="AC412" s="26"/>
    </row>
    <row r="413" ht="10" customHeight="1" spans="1:29">
      <c r="A413" s="26"/>
      <c r="B413" s="26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62"/>
      <c r="R413" s="59"/>
      <c r="S413" s="59">
        <v>260313</v>
      </c>
      <c r="T413" s="59" t="s">
        <v>30</v>
      </c>
      <c r="U413" s="51" t="s">
        <v>85</v>
      </c>
      <c r="V413" s="72" t="s">
        <v>30</v>
      </c>
      <c r="W413" s="74" t="s">
        <v>477</v>
      </c>
      <c r="X413" s="72" t="s">
        <v>33</v>
      </c>
      <c r="Y413" s="51" t="str">
        <f t="shared" si="6"/>
        <v>260313_TPNB500597_0172_AXXXXXXXXX</v>
      </c>
      <c r="Z413" s="51" t="s">
        <v>87</v>
      </c>
      <c r="AA413" s="51" t="s">
        <v>35</v>
      </c>
      <c r="AB413" s="26"/>
      <c r="AC413" s="26"/>
    </row>
    <row r="414" ht="10" customHeight="1" spans="1:29">
      <c r="A414" s="26"/>
      <c r="B414" s="26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62"/>
      <c r="R414" s="59"/>
      <c r="S414" s="59">
        <v>260313</v>
      </c>
      <c r="T414" s="59" t="s">
        <v>30</v>
      </c>
      <c r="U414" s="51" t="s">
        <v>88</v>
      </c>
      <c r="V414" s="72" t="s">
        <v>30</v>
      </c>
      <c r="W414" s="40" t="s">
        <v>283</v>
      </c>
      <c r="X414" s="72" t="s">
        <v>33</v>
      </c>
      <c r="Y414" s="51" t="str">
        <f t="shared" si="6"/>
        <v>260313_TPNB500641_0182_AXXXXXXXXX</v>
      </c>
      <c r="Z414" s="51" t="s">
        <v>90</v>
      </c>
      <c r="AA414" s="51" t="s">
        <v>35</v>
      </c>
      <c r="AB414" s="26"/>
      <c r="AC414" s="26"/>
    </row>
    <row r="415" ht="10" customHeight="1" spans="1:29">
      <c r="A415" s="26"/>
      <c r="B415" s="26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62"/>
      <c r="R415" s="59"/>
      <c r="S415" s="59">
        <v>260313</v>
      </c>
      <c r="T415" s="59" t="s">
        <v>30</v>
      </c>
      <c r="U415" s="51" t="s">
        <v>92</v>
      </c>
      <c r="V415" s="72" t="s">
        <v>30</v>
      </c>
      <c r="W415" s="103" t="s">
        <v>347</v>
      </c>
      <c r="X415" s="72" t="s">
        <v>33</v>
      </c>
      <c r="Y415" s="51" t="str">
        <f t="shared" si="6"/>
        <v>260313_NDX550598_RUO_0133_AXXXXXXXXX</v>
      </c>
      <c r="Z415" s="51" t="s">
        <v>94</v>
      </c>
      <c r="AA415" s="51" t="s">
        <v>39</v>
      </c>
      <c r="AB415" s="26"/>
      <c r="AC415" s="26"/>
    </row>
    <row r="416" ht="10" customHeight="1" spans="1:29">
      <c r="A416" s="26"/>
      <c r="B416" s="26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62"/>
      <c r="R416" s="59"/>
      <c r="S416" s="59">
        <v>260313</v>
      </c>
      <c r="T416" s="59" t="s">
        <v>30</v>
      </c>
      <c r="U416" s="51" t="s">
        <v>95</v>
      </c>
      <c r="V416" s="72" t="s">
        <v>30</v>
      </c>
      <c r="W416" s="103" t="s">
        <v>400</v>
      </c>
      <c r="X416" s="72" t="s">
        <v>33</v>
      </c>
      <c r="Y416" s="51" t="str">
        <f t="shared" si="6"/>
        <v>260313_NDX550778_RUO_0156_AXXXXXXXXX</v>
      </c>
      <c r="Z416" s="51" t="s">
        <v>97</v>
      </c>
      <c r="AA416" s="51" t="s">
        <v>39</v>
      </c>
      <c r="AB416" s="26"/>
      <c r="AC416" s="26"/>
    </row>
    <row r="417" ht="10" customHeight="1" spans="1:29">
      <c r="A417" s="26"/>
      <c r="B417" s="26"/>
      <c r="C417" s="96" t="s">
        <v>558</v>
      </c>
      <c r="D417" s="97" t="s">
        <v>479</v>
      </c>
      <c r="E417" s="96" t="s">
        <v>491</v>
      </c>
      <c r="F417" s="97" t="s">
        <v>479</v>
      </c>
      <c r="G417" s="40" t="s">
        <v>491</v>
      </c>
      <c r="H417" s="97" t="s">
        <v>479</v>
      </c>
      <c r="I417" s="40" t="s">
        <v>482</v>
      </c>
      <c r="J417" s="97" t="s">
        <v>479</v>
      </c>
      <c r="K417" s="40" t="s">
        <v>483</v>
      </c>
      <c r="L417" s="97" t="s">
        <v>479</v>
      </c>
      <c r="M417" s="96" t="s">
        <v>559</v>
      </c>
      <c r="N417" s="97" t="s">
        <v>479</v>
      </c>
      <c r="O417" s="98" t="s">
        <v>485</v>
      </c>
      <c r="P417" s="40" t="s">
        <v>524</v>
      </c>
      <c r="Q417" s="97" t="s">
        <v>560</v>
      </c>
      <c r="R417" s="96" t="s">
        <v>556</v>
      </c>
      <c r="S417" s="96">
        <v>260313</v>
      </c>
      <c r="T417" s="59" t="s">
        <v>30</v>
      </c>
      <c r="U417" s="51" t="s">
        <v>31</v>
      </c>
      <c r="V417" s="72" t="s">
        <v>30</v>
      </c>
      <c r="W417" s="102" t="s">
        <v>561</v>
      </c>
      <c r="X417" s="72" t="s">
        <v>33</v>
      </c>
      <c r="Y417" s="51" t="str">
        <f t="shared" si="6"/>
        <v>260313_TPNB500477_0247_AXXXXXXXXX</v>
      </c>
      <c r="Z417" s="51" t="s">
        <v>34</v>
      </c>
      <c r="AA417" s="40" t="s">
        <v>35</v>
      </c>
      <c r="AB417" s="26"/>
      <c r="AC417" s="26"/>
    </row>
    <row r="418" ht="10" customHeight="1" spans="1:29">
      <c r="A418" s="26"/>
      <c r="B418" s="26"/>
      <c r="C418" s="96" t="s">
        <v>558</v>
      </c>
      <c r="D418" s="97" t="s">
        <v>490</v>
      </c>
      <c r="E418" s="96" t="s">
        <v>491</v>
      </c>
      <c r="F418" s="97" t="s">
        <v>490</v>
      </c>
      <c r="G418" s="40" t="s">
        <v>491</v>
      </c>
      <c r="H418" s="97" t="s">
        <v>490</v>
      </c>
      <c r="I418" s="40" t="s">
        <v>482</v>
      </c>
      <c r="J418" s="97" t="s">
        <v>490</v>
      </c>
      <c r="K418" s="40" t="s">
        <v>483</v>
      </c>
      <c r="L418" s="97" t="s">
        <v>490</v>
      </c>
      <c r="M418" s="96" t="s">
        <v>559</v>
      </c>
      <c r="N418" s="97" t="s">
        <v>490</v>
      </c>
      <c r="O418" s="98" t="s">
        <v>485</v>
      </c>
      <c r="P418" s="40" t="s">
        <v>562</v>
      </c>
      <c r="Q418" s="40"/>
      <c r="R418" s="96" t="s">
        <v>556</v>
      </c>
      <c r="S418" s="96">
        <v>260313</v>
      </c>
      <c r="T418" s="59" t="s">
        <v>30</v>
      </c>
      <c r="U418" s="51" t="s">
        <v>36</v>
      </c>
      <c r="V418" s="72" t="s">
        <v>30</v>
      </c>
      <c r="W418" s="102" t="s">
        <v>563</v>
      </c>
      <c r="X418" s="72" t="s">
        <v>33</v>
      </c>
      <c r="Y418" s="51" t="str">
        <f t="shared" si="6"/>
        <v>260313_NDX551406_RUO_0365_AXXXXXXXXX</v>
      </c>
      <c r="Z418" s="51" t="s">
        <v>38</v>
      </c>
      <c r="AA418" s="40" t="s">
        <v>39</v>
      </c>
      <c r="AB418" s="26"/>
      <c r="AC418" s="26"/>
    </row>
    <row r="419" ht="10" customHeight="1" spans="1:29">
      <c r="A419" s="26"/>
      <c r="B419" s="26"/>
      <c r="C419" s="59" t="s">
        <v>505</v>
      </c>
      <c r="D419" s="59" t="s">
        <v>242</v>
      </c>
      <c r="E419" s="59" t="s">
        <v>505</v>
      </c>
      <c r="F419" s="59" t="s">
        <v>242</v>
      </c>
      <c r="G419" s="59" t="s">
        <v>506</v>
      </c>
      <c r="H419" s="59" t="s">
        <v>242</v>
      </c>
      <c r="I419" s="59" t="s">
        <v>564</v>
      </c>
      <c r="J419" s="59" t="s">
        <v>508</v>
      </c>
      <c r="K419" s="59" t="s">
        <v>565</v>
      </c>
      <c r="L419" s="59" t="s">
        <v>508</v>
      </c>
      <c r="M419" s="59" t="s">
        <v>566</v>
      </c>
      <c r="N419" s="59" t="s">
        <v>508</v>
      </c>
      <c r="O419" s="69" t="s">
        <v>567</v>
      </c>
      <c r="P419" s="59" t="s">
        <v>512</v>
      </c>
      <c r="Q419" s="71" t="s">
        <v>513</v>
      </c>
      <c r="R419" s="59" t="s">
        <v>568</v>
      </c>
      <c r="S419" s="59">
        <v>260314</v>
      </c>
      <c r="T419" s="59" t="s">
        <v>30</v>
      </c>
      <c r="U419" s="26" t="s">
        <v>98</v>
      </c>
      <c r="V419" s="72" t="s">
        <v>30</v>
      </c>
      <c r="W419" s="102" t="s">
        <v>283</v>
      </c>
      <c r="X419" s="72" t="s">
        <v>33</v>
      </c>
      <c r="Y419" s="51" t="str">
        <f t="shared" si="6"/>
        <v>260314_TPNB500657_0182_AXXXXXXXXX</v>
      </c>
      <c r="Z419" s="51" t="s">
        <v>100</v>
      </c>
      <c r="AA419" s="51" t="s">
        <v>35</v>
      </c>
      <c r="AB419" s="26"/>
      <c r="AC419" s="26"/>
    </row>
    <row r="420" ht="10" customHeight="1" spans="1:29">
      <c r="A420" s="26"/>
      <c r="B420" s="26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71" t="s">
        <v>569</v>
      </c>
      <c r="R420" s="59"/>
      <c r="S420" s="59">
        <v>260314</v>
      </c>
      <c r="T420" s="59" t="s">
        <v>30</v>
      </c>
      <c r="U420" s="51" t="s">
        <v>85</v>
      </c>
      <c r="V420" s="72" t="s">
        <v>30</v>
      </c>
      <c r="W420" s="74" t="s">
        <v>230</v>
      </c>
      <c r="X420" s="72" t="s">
        <v>33</v>
      </c>
      <c r="Y420" s="51" t="str">
        <f t="shared" si="6"/>
        <v>260314_TPNB500597_0173_AXXXXXXXXX</v>
      </c>
      <c r="Z420" s="51" t="s">
        <v>87</v>
      </c>
      <c r="AA420" s="51" t="s">
        <v>35</v>
      </c>
      <c r="AB420" s="26"/>
      <c r="AC420" s="26"/>
    </row>
    <row r="421" ht="10" customHeight="1" spans="1:29">
      <c r="A421" s="26"/>
      <c r="B421" s="26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71" t="s">
        <v>569</v>
      </c>
      <c r="R421" s="59"/>
      <c r="S421" s="59">
        <v>260314</v>
      </c>
      <c r="T421" s="59" t="s">
        <v>30</v>
      </c>
      <c r="U421" s="51" t="s">
        <v>88</v>
      </c>
      <c r="V421" s="72" t="s">
        <v>30</v>
      </c>
      <c r="W421" s="40" t="s">
        <v>289</v>
      </c>
      <c r="X421" s="72" t="s">
        <v>33</v>
      </c>
      <c r="Y421" s="51" t="str">
        <f t="shared" si="6"/>
        <v>260314_TPNB500641_0183_AXXXXXXXXX</v>
      </c>
      <c r="Z421" s="51" t="s">
        <v>90</v>
      </c>
      <c r="AA421" s="51" t="s">
        <v>35</v>
      </c>
      <c r="AB421" s="26"/>
      <c r="AC421" s="26"/>
    </row>
    <row r="422" ht="10" customHeight="1" spans="1:29">
      <c r="A422" s="26"/>
      <c r="B422" s="26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71" t="s">
        <v>569</v>
      </c>
      <c r="R422" s="59"/>
      <c r="S422" s="59">
        <v>260314</v>
      </c>
      <c r="T422" s="59" t="s">
        <v>30</v>
      </c>
      <c r="U422" s="51" t="s">
        <v>36</v>
      </c>
      <c r="V422" s="72" t="s">
        <v>30</v>
      </c>
      <c r="W422" s="102" t="s">
        <v>570</v>
      </c>
      <c r="X422" s="72" t="s">
        <v>33</v>
      </c>
      <c r="Y422" s="51" t="str">
        <f t="shared" si="6"/>
        <v>260314_NDX551406_RUO_0366_AXXXXXXXXX</v>
      </c>
      <c r="Z422" s="51" t="s">
        <v>38</v>
      </c>
      <c r="AA422" s="51" t="s">
        <v>39</v>
      </c>
      <c r="AB422" s="26"/>
      <c r="AC422" s="26"/>
    </row>
    <row r="423" ht="10" customHeight="1" spans="1:29">
      <c r="A423" s="26"/>
      <c r="B423" s="26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71" t="s">
        <v>569</v>
      </c>
      <c r="R423" s="59"/>
      <c r="S423" s="59">
        <v>260314</v>
      </c>
      <c r="T423" s="59" t="s">
        <v>30</v>
      </c>
      <c r="U423" s="51" t="s">
        <v>92</v>
      </c>
      <c r="V423" s="72" t="s">
        <v>30</v>
      </c>
      <c r="W423" s="103" t="s">
        <v>351</v>
      </c>
      <c r="X423" s="72" t="s">
        <v>33</v>
      </c>
      <c r="Y423" s="51" t="str">
        <f t="shared" si="6"/>
        <v>260314_NDX550598_RUO_0134_AXXXXXXXXX</v>
      </c>
      <c r="Z423" s="51" t="s">
        <v>94</v>
      </c>
      <c r="AA423" s="51" t="s">
        <v>39</v>
      </c>
      <c r="AB423" s="26"/>
      <c r="AC423" s="26"/>
    </row>
    <row r="424" ht="10" customHeight="1" spans="1:29">
      <c r="A424" s="26"/>
      <c r="B424" s="26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71" t="s">
        <v>569</v>
      </c>
      <c r="R424" s="59"/>
      <c r="S424" s="59">
        <v>260314</v>
      </c>
      <c r="T424" s="59" t="s">
        <v>30</v>
      </c>
      <c r="U424" s="51" t="s">
        <v>95</v>
      </c>
      <c r="V424" s="72" t="s">
        <v>30</v>
      </c>
      <c r="W424" s="103" t="s">
        <v>131</v>
      </c>
      <c r="X424" s="72" t="s">
        <v>33</v>
      </c>
      <c r="Y424" s="51" t="str">
        <f t="shared" si="6"/>
        <v>260314_NDX550778_RUO_0157_AXXXXXXXXX</v>
      </c>
      <c r="Z424" s="51" t="s">
        <v>97</v>
      </c>
      <c r="AA424" s="51" t="s">
        <v>39</v>
      </c>
      <c r="AB424" s="26"/>
      <c r="AC424" s="26"/>
    </row>
    <row r="425" ht="10" customHeight="1" spans="1:29">
      <c r="A425" s="26"/>
      <c r="B425" s="26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71" t="s">
        <v>569</v>
      </c>
      <c r="R425" s="59"/>
      <c r="S425" s="59">
        <v>260314</v>
      </c>
      <c r="T425" s="59" t="s">
        <v>30</v>
      </c>
      <c r="U425" s="51" t="s">
        <v>85</v>
      </c>
      <c r="V425" s="72" t="s">
        <v>30</v>
      </c>
      <c r="W425" s="74" t="s">
        <v>515</v>
      </c>
      <c r="X425" s="72" t="s">
        <v>33</v>
      </c>
      <c r="Y425" s="51" t="str">
        <f t="shared" si="6"/>
        <v>260314_TPNB500597_0174_AXXXXXXXXX</v>
      </c>
      <c r="Z425" s="51" t="s">
        <v>87</v>
      </c>
      <c r="AA425" s="51" t="s">
        <v>35</v>
      </c>
      <c r="AB425" s="26"/>
      <c r="AC425" s="26"/>
    </row>
    <row r="426" ht="10" customHeight="1" spans="1:29">
      <c r="A426" s="26"/>
      <c r="B426" s="26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71" t="s">
        <v>569</v>
      </c>
      <c r="R426" s="59"/>
      <c r="S426" s="59">
        <v>260314</v>
      </c>
      <c r="T426" s="59" t="s">
        <v>30</v>
      </c>
      <c r="U426" s="51" t="s">
        <v>88</v>
      </c>
      <c r="V426" s="72" t="s">
        <v>30</v>
      </c>
      <c r="W426" s="40" t="s">
        <v>290</v>
      </c>
      <c r="X426" s="72" t="s">
        <v>33</v>
      </c>
      <c r="Y426" s="51" t="str">
        <f t="shared" si="6"/>
        <v>260314_TPNB500641_0184_AXXXXXXXXX</v>
      </c>
      <c r="Z426" s="51" t="s">
        <v>90</v>
      </c>
      <c r="AA426" s="51" t="s">
        <v>35</v>
      </c>
      <c r="AB426" s="26"/>
      <c r="AC426" s="26"/>
    </row>
    <row r="427" ht="10" customHeight="1" spans="1:29">
      <c r="A427" s="26"/>
      <c r="B427" s="26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71" t="s">
        <v>569</v>
      </c>
      <c r="R427" s="59"/>
      <c r="S427" s="59">
        <v>260314</v>
      </c>
      <c r="T427" s="59" t="s">
        <v>30</v>
      </c>
      <c r="U427" s="51" t="s">
        <v>92</v>
      </c>
      <c r="V427" s="72" t="s">
        <v>30</v>
      </c>
      <c r="W427" s="103" t="s">
        <v>359</v>
      </c>
      <c r="X427" s="72" t="s">
        <v>33</v>
      </c>
      <c r="Y427" s="51" t="str">
        <f t="shared" si="6"/>
        <v>260314_NDX550598_RUO_0135_AXXXXXXXXX</v>
      </c>
      <c r="Z427" s="51" t="s">
        <v>94</v>
      </c>
      <c r="AA427" s="51" t="s">
        <v>39</v>
      </c>
      <c r="AB427" s="26"/>
      <c r="AC427" s="26"/>
    </row>
    <row r="428" ht="10" customHeight="1" spans="1:29">
      <c r="A428" s="26"/>
      <c r="B428" s="26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71" t="s">
        <v>569</v>
      </c>
      <c r="R428" s="59"/>
      <c r="S428" s="59">
        <v>260314</v>
      </c>
      <c r="T428" s="59" t="s">
        <v>30</v>
      </c>
      <c r="U428" s="51" t="s">
        <v>95</v>
      </c>
      <c r="V428" s="72" t="s">
        <v>30</v>
      </c>
      <c r="W428" s="103" t="s">
        <v>409</v>
      </c>
      <c r="X428" s="72" t="s">
        <v>33</v>
      </c>
      <c r="Y428" s="51" t="str">
        <f t="shared" si="6"/>
        <v>260314_NDX550778_RUO_0158_AXXXXXXXXX</v>
      </c>
      <c r="Z428" s="51" t="s">
        <v>97</v>
      </c>
      <c r="AA428" s="51" t="s">
        <v>39</v>
      </c>
      <c r="AB428" s="26"/>
      <c r="AC428" s="26"/>
    </row>
    <row r="429" ht="10" customHeight="1" spans="1:29">
      <c r="A429" s="26"/>
      <c r="B429" s="26"/>
      <c r="C429" s="96" t="s">
        <v>571</v>
      </c>
      <c r="D429" s="97" t="s">
        <v>479</v>
      </c>
      <c r="E429" s="96" t="s">
        <v>491</v>
      </c>
      <c r="F429" s="97" t="s">
        <v>479</v>
      </c>
      <c r="G429" s="40" t="s">
        <v>491</v>
      </c>
      <c r="H429" s="97" t="s">
        <v>479</v>
      </c>
      <c r="I429" s="40" t="s">
        <v>482</v>
      </c>
      <c r="J429" s="97" t="s">
        <v>479</v>
      </c>
      <c r="K429" s="40" t="s">
        <v>483</v>
      </c>
      <c r="L429" s="97" t="s">
        <v>479</v>
      </c>
      <c r="M429" s="96" t="s">
        <v>572</v>
      </c>
      <c r="N429" s="97" t="s">
        <v>479</v>
      </c>
      <c r="O429" s="98" t="s">
        <v>485</v>
      </c>
      <c r="P429" s="40" t="s">
        <v>492</v>
      </c>
      <c r="Q429" s="97" t="s">
        <v>573</v>
      </c>
      <c r="R429" s="96" t="s">
        <v>568</v>
      </c>
      <c r="S429" s="96">
        <v>260314</v>
      </c>
      <c r="T429" s="59" t="s">
        <v>30</v>
      </c>
      <c r="U429" s="51" t="s">
        <v>36</v>
      </c>
      <c r="V429" s="72" t="s">
        <v>30</v>
      </c>
      <c r="W429" s="102" t="s">
        <v>574</v>
      </c>
      <c r="X429" s="72" t="s">
        <v>33</v>
      </c>
      <c r="Y429" s="51" t="str">
        <f t="shared" si="6"/>
        <v>260314_NDX551406_RUO_0367_AXXXXXXXXX</v>
      </c>
      <c r="Z429" s="51" t="s">
        <v>38</v>
      </c>
      <c r="AA429" s="40" t="s">
        <v>39</v>
      </c>
      <c r="AB429" s="26"/>
      <c r="AC429" s="26"/>
    </row>
    <row r="430" ht="10" customHeight="1" spans="1:29">
      <c r="A430" s="26"/>
      <c r="B430" s="26"/>
      <c r="C430" s="96" t="s">
        <v>571</v>
      </c>
      <c r="D430" s="97" t="s">
        <v>490</v>
      </c>
      <c r="E430" s="96" t="s">
        <v>491</v>
      </c>
      <c r="F430" s="97" t="s">
        <v>490</v>
      </c>
      <c r="G430" s="40" t="s">
        <v>491</v>
      </c>
      <c r="H430" s="97" t="s">
        <v>490</v>
      </c>
      <c r="I430" s="40" t="s">
        <v>482</v>
      </c>
      <c r="J430" s="97" t="s">
        <v>490</v>
      </c>
      <c r="K430" s="40" t="s">
        <v>483</v>
      </c>
      <c r="L430" s="97" t="s">
        <v>490</v>
      </c>
      <c r="M430" s="96" t="s">
        <v>572</v>
      </c>
      <c r="N430" s="97" t="s">
        <v>490</v>
      </c>
      <c r="O430" s="98" t="s">
        <v>485</v>
      </c>
      <c r="P430" s="40" t="s">
        <v>575</v>
      </c>
      <c r="Q430" s="40"/>
      <c r="R430" s="96" t="s">
        <v>568</v>
      </c>
      <c r="S430" s="96">
        <v>260314</v>
      </c>
      <c r="T430" s="59" t="s">
        <v>30</v>
      </c>
      <c r="U430" s="51" t="s">
        <v>31</v>
      </c>
      <c r="V430" s="72" t="s">
        <v>30</v>
      </c>
      <c r="W430" s="102" t="s">
        <v>576</v>
      </c>
      <c r="X430" s="72" t="s">
        <v>33</v>
      </c>
      <c r="Y430" s="51" t="str">
        <f t="shared" si="6"/>
        <v>260314_TPNB500477_0249_AXXXXXXXXX</v>
      </c>
      <c r="Z430" s="51" t="s">
        <v>34</v>
      </c>
      <c r="AA430" s="40" t="s">
        <v>35</v>
      </c>
      <c r="AB430" s="26"/>
      <c r="AC430" s="26"/>
    </row>
    <row r="431" ht="10" customHeight="1" spans="1:29">
      <c r="A431" s="26"/>
      <c r="B431" s="26"/>
      <c r="C431" s="59" t="s">
        <v>505</v>
      </c>
      <c r="D431" s="59" t="s">
        <v>242</v>
      </c>
      <c r="E431" s="59" t="s">
        <v>505</v>
      </c>
      <c r="F431" s="59" t="s">
        <v>242</v>
      </c>
      <c r="G431" s="59" t="s">
        <v>506</v>
      </c>
      <c r="H431" s="59" t="s">
        <v>242</v>
      </c>
      <c r="I431" s="59" t="s">
        <v>577</v>
      </c>
      <c r="J431" s="59" t="s">
        <v>508</v>
      </c>
      <c r="K431" s="59" t="s">
        <v>578</v>
      </c>
      <c r="L431" s="59" t="s">
        <v>508</v>
      </c>
      <c r="M431" s="59" t="s">
        <v>579</v>
      </c>
      <c r="N431" s="59" t="s">
        <v>508</v>
      </c>
      <c r="O431" s="69" t="s">
        <v>580</v>
      </c>
      <c r="P431" s="59" t="s">
        <v>512</v>
      </c>
      <c r="Q431" s="71" t="s">
        <v>513</v>
      </c>
      <c r="R431" s="59" t="s">
        <v>581</v>
      </c>
      <c r="S431" s="59">
        <v>260315</v>
      </c>
      <c r="T431" s="59" t="s">
        <v>30</v>
      </c>
      <c r="U431" s="26" t="s">
        <v>98</v>
      </c>
      <c r="V431" s="72" t="s">
        <v>30</v>
      </c>
      <c r="W431" s="102" t="s">
        <v>290</v>
      </c>
      <c r="X431" s="72" t="s">
        <v>33</v>
      </c>
      <c r="Y431" s="51" t="str">
        <f t="shared" si="6"/>
        <v>260315_TPNB500657_0184_AXXXXXXXXX</v>
      </c>
      <c r="Z431" s="51" t="s">
        <v>100</v>
      </c>
      <c r="AA431" s="51" t="s">
        <v>35</v>
      </c>
      <c r="AB431" s="26"/>
      <c r="AC431" s="26"/>
    </row>
    <row r="432" ht="10" customHeight="1" spans="1:29">
      <c r="A432" s="26"/>
      <c r="B432" s="26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71" t="s">
        <v>569</v>
      </c>
      <c r="R432" s="59"/>
      <c r="S432" s="59">
        <v>260315</v>
      </c>
      <c r="T432" s="59" t="s">
        <v>30</v>
      </c>
      <c r="U432" s="51" t="s">
        <v>85</v>
      </c>
      <c r="V432" s="72" t="s">
        <v>30</v>
      </c>
      <c r="W432" s="74" t="s">
        <v>240</v>
      </c>
      <c r="X432" s="72" t="s">
        <v>33</v>
      </c>
      <c r="Y432" s="51" t="str">
        <f t="shared" si="6"/>
        <v>260315_TPNB500597_0175_AXXXXXXXXX</v>
      </c>
      <c r="Z432" s="51" t="s">
        <v>87</v>
      </c>
      <c r="AA432" s="51" t="s">
        <v>35</v>
      </c>
      <c r="AB432" s="26"/>
      <c r="AC432" s="26"/>
    </row>
    <row r="433" ht="10" customHeight="1" spans="1:29">
      <c r="A433" s="26"/>
      <c r="B433" s="26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71" t="s">
        <v>569</v>
      </c>
      <c r="R433" s="59"/>
      <c r="S433" s="59">
        <v>260315</v>
      </c>
      <c r="T433" s="59" t="s">
        <v>30</v>
      </c>
      <c r="U433" s="51" t="s">
        <v>88</v>
      </c>
      <c r="V433" s="72" t="s">
        <v>30</v>
      </c>
      <c r="W433" s="40" t="s">
        <v>296</v>
      </c>
      <c r="X433" s="72" t="s">
        <v>33</v>
      </c>
      <c r="Y433" s="51" t="str">
        <f t="shared" si="6"/>
        <v>260315_TPNB500641_0185_AXXXXXXXXX</v>
      </c>
      <c r="Z433" s="51" t="s">
        <v>90</v>
      </c>
      <c r="AA433" s="51" t="s">
        <v>35</v>
      </c>
      <c r="AB433" s="26"/>
      <c r="AC433" s="26"/>
    </row>
    <row r="434" ht="10" customHeight="1" spans="1:29">
      <c r="A434" s="26"/>
      <c r="B434" s="26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71" t="s">
        <v>569</v>
      </c>
      <c r="R434" s="59"/>
      <c r="S434" s="59">
        <v>260315</v>
      </c>
      <c r="T434" s="59" t="s">
        <v>30</v>
      </c>
      <c r="U434" s="51" t="s">
        <v>36</v>
      </c>
      <c r="V434" s="72" t="s">
        <v>30</v>
      </c>
      <c r="W434" s="102" t="s">
        <v>582</v>
      </c>
      <c r="X434" s="72" t="s">
        <v>33</v>
      </c>
      <c r="Y434" s="51" t="str">
        <f t="shared" si="6"/>
        <v>260315_NDX551406_RUO_0368_AXXXXXXXXX</v>
      </c>
      <c r="Z434" s="51" t="s">
        <v>38</v>
      </c>
      <c r="AA434" s="51" t="s">
        <v>39</v>
      </c>
      <c r="AB434" s="26"/>
      <c r="AC434" s="26"/>
    </row>
    <row r="435" ht="10" customHeight="1" spans="1:29">
      <c r="A435" s="26"/>
      <c r="B435" s="26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71" t="s">
        <v>569</v>
      </c>
      <c r="R435" s="59"/>
      <c r="S435" s="59">
        <v>260315</v>
      </c>
      <c r="T435" s="59" t="s">
        <v>30</v>
      </c>
      <c r="U435" s="51" t="s">
        <v>92</v>
      </c>
      <c r="V435" s="72" t="s">
        <v>30</v>
      </c>
      <c r="W435" s="103" t="s">
        <v>362</v>
      </c>
      <c r="X435" s="72" t="s">
        <v>33</v>
      </c>
      <c r="Y435" s="51" t="str">
        <f t="shared" si="6"/>
        <v>260315_NDX550598_RUO_0136_AXXXXXXXXX</v>
      </c>
      <c r="Z435" s="51" t="s">
        <v>94</v>
      </c>
      <c r="AA435" s="51" t="s">
        <v>39</v>
      </c>
      <c r="AB435" s="26"/>
      <c r="AC435" s="26"/>
    </row>
    <row r="436" ht="10" customHeight="1" spans="1:29">
      <c r="A436" s="26"/>
      <c r="B436" s="26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71" t="s">
        <v>569</v>
      </c>
      <c r="R436" s="59"/>
      <c r="S436" s="59">
        <v>260315</v>
      </c>
      <c r="T436" s="59" t="s">
        <v>30</v>
      </c>
      <c r="U436" s="51" t="s">
        <v>95</v>
      </c>
      <c r="V436" s="72" t="s">
        <v>30</v>
      </c>
      <c r="W436" s="103" t="s">
        <v>146</v>
      </c>
      <c r="X436" s="72" t="s">
        <v>33</v>
      </c>
      <c r="Y436" s="51" t="str">
        <f t="shared" si="6"/>
        <v>260315_NDX550778_RUO_0159_AXXXXXXXXX</v>
      </c>
      <c r="Z436" s="51" t="s">
        <v>97</v>
      </c>
      <c r="AA436" s="51" t="s">
        <v>39</v>
      </c>
      <c r="AB436" s="26"/>
      <c r="AC436" s="26"/>
    </row>
    <row r="437" ht="10" customHeight="1" spans="1:29">
      <c r="A437" s="26"/>
      <c r="B437" s="26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71" t="s">
        <v>569</v>
      </c>
      <c r="R437" s="59"/>
      <c r="S437" s="59">
        <v>260315</v>
      </c>
      <c r="T437" s="59" t="s">
        <v>30</v>
      </c>
      <c r="U437" s="51" t="s">
        <v>85</v>
      </c>
      <c r="V437" s="72" t="s">
        <v>30</v>
      </c>
      <c r="W437" s="74" t="s">
        <v>517</v>
      </c>
      <c r="X437" s="72" t="s">
        <v>33</v>
      </c>
      <c r="Y437" s="51" t="str">
        <f t="shared" si="6"/>
        <v>260315_TPNB500597_0176_AXXXXXXXXX</v>
      </c>
      <c r="Z437" s="51" t="s">
        <v>87</v>
      </c>
      <c r="AA437" s="51" t="s">
        <v>35</v>
      </c>
      <c r="AB437" s="26"/>
      <c r="AC437" s="26"/>
    </row>
    <row r="438" ht="10" customHeight="1" spans="1:29">
      <c r="A438" s="26"/>
      <c r="B438" s="26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71" t="s">
        <v>569</v>
      </c>
      <c r="R438" s="59"/>
      <c r="S438" s="59">
        <v>260315</v>
      </c>
      <c r="T438" s="59" t="s">
        <v>30</v>
      </c>
      <c r="U438" s="51" t="s">
        <v>88</v>
      </c>
      <c r="V438" s="72" t="s">
        <v>30</v>
      </c>
      <c r="W438" s="40" t="s">
        <v>583</v>
      </c>
      <c r="X438" s="72" t="s">
        <v>33</v>
      </c>
      <c r="Y438" s="51" t="str">
        <f t="shared" si="6"/>
        <v>260315_TPNB500641_0186_AXXXXXXXXX</v>
      </c>
      <c r="Z438" s="51" t="s">
        <v>90</v>
      </c>
      <c r="AA438" s="51" t="s">
        <v>35</v>
      </c>
      <c r="AB438" s="26"/>
      <c r="AC438" s="26"/>
    </row>
    <row r="439" ht="10" customHeight="1" spans="1:29">
      <c r="A439" s="26"/>
      <c r="B439" s="26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71" t="s">
        <v>569</v>
      </c>
      <c r="R439" s="59"/>
      <c r="S439" s="59">
        <v>260315</v>
      </c>
      <c r="T439" s="59" t="s">
        <v>30</v>
      </c>
      <c r="U439" s="51" t="s">
        <v>92</v>
      </c>
      <c r="V439" s="72" t="s">
        <v>30</v>
      </c>
      <c r="W439" s="103" t="s">
        <v>427</v>
      </c>
      <c r="X439" s="72" t="s">
        <v>33</v>
      </c>
      <c r="Y439" s="51" t="str">
        <f t="shared" si="6"/>
        <v>260315_NDX550598_RUO_0137_AXXXXXXXXX</v>
      </c>
      <c r="Z439" s="51" t="s">
        <v>94</v>
      </c>
      <c r="AA439" s="51" t="s">
        <v>39</v>
      </c>
      <c r="AB439" s="26"/>
      <c r="AC439" s="26"/>
    </row>
    <row r="440" ht="10" customHeight="1" spans="1:29">
      <c r="A440" s="26"/>
      <c r="B440" s="26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71" t="s">
        <v>569</v>
      </c>
      <c r="R440" s="59"/>
      <c r="S440" s="59">
        <v>260315</v>
      </c>
      <c r="T440" s="59" t="s">
        <v>30</v>
      </c>
      <c r="U440" s="51" t="s">
        <v>95</v>
      </c>
      <c r="V440" s="72" t="s">
        <v>30</v>
      </c>
      <c r="W440" s="103" t="s">
        <v>418</v>
      </c>
      <c r="X440" s="72" t="s">
        <v>33</v>
      </c>
      <c r="Y440" s="51" t="str">
        <f t="shared" si="6"/>
        <v>260315_NDX550778_RUO_0160_AXXXXXXXXX</v>
      </c>
      <c r="Z440" s="51" t="s">
        <v>97</v>
      </c>
      <c r="AA440" s="51" t="s">
        <v>39</v>
      </c>
      <c r="AB440" s="26"/>
      <c r="AC440" s="26"/>
    </row>
    <row r="441" ht="10" customHeight="1" spans="1:29">
      <c r="A441" s="26"/>
      <c r="B441" s="26"/>
      <c r="C441" s="96" t="s">
        <v>584</v>
      </c>
      <c r="D441" s="97" t="s">
        <v>479</v>
      </c>
      <c r="E441" s="96" t="s">
        <v>491</v>
      </c>
      <c r="F441" s="97" t="s">
        <v>479</v>
      </c>
      <c r="G441" s="40" t="s">
        <v>491</v>
      </c>
      <c r="H441" s="97" t="s">
        <v>479</v>
      </c>
      <c r="I441" s="40" t="s">
        <v>482</v>
      </c>
      <c r="J441" s="97" t="s">
        <v>479</v>
      </c>
      <c r="K441" s="40" t="s">
        <v>483</v>
      </c>
      <c r="L441" s="97" t="s">
        <v>479</v>
      </c>
      <c r="M441" s="96" t="s">
        <v>585</v>
      </c>
      <c r="N441" s="97" t="s">
        <v>479</v>
      </c>
      <c r="O441" s="98" t="s">
        <v>485</v>
      </c>
      <c r="P441" s="40" t="s">
        <v>492</v>
      </c>
      <c r="Q441" s="97" t="s">
        <v>586</v>
      </c>
      <c r="R441" s="96" t="s">
        <v>581</v>
      </c>
      <c r="S441" s="96">
        <v>260315</v>
      </c>
      <c r="T441" s="59" t="s">
        <v>30</v>
      </c>
      <c r="U441" s="51" t="s">
        <v>36</v>
      </c>
      <c r="V441" s="72" t="s">
        <v>30</v>
      </c>
      <c r="W441" s="102" t="s">
        <v>587</v>
      </c>
      <c r="X441" s="72" t="s">
        <v>33</v>
      </c>
      <c r="Y441" s="51" t="str">
        <f t="shared" si="6"/>
        <v>260315_NDX551406_RUO_0369_AXXXXXXXXX</v>
      </c>
      <c r="Z441" s="51" t="s">
        <v>38</v>
      </c>
      <c r="AA441" s="40" t="s">
        <v>39</v>
      </c>
      <c r="AB441" s="26"/>
      <c r="AC441" s="26"/>
    </row>
    <row r="442" ht="10" customHeight="1" spans="1:29">
      <c r="A442" s="26"/>
      <c r="B442" s="26"/>
      <c r="C442" s="96" t="s">
        <v>584</v>
      </c>
      <c r="D442" s="97" t="s">
        <v>490</v>
      </c>
      <c r="E442" s="96" t="s">
        <v>491</v>
      </c>
      <c r="F442" s="97" t="s">
        <v>490</v>
      </c>
      <c r="G442" s="40" t="s">
        <v>491</v>
      </c>
      <c r="H442" s="97" t="s">
        <v>490</v>
      </c>
      <c r="I442" s="40" t="s">
        <v>482</v>
      </c>
      <c r="J442" s="97" t="s">
        <v>490</v>
      </c>
      <c r="K442" s="40" t="s">
        <v>483</v>
      </c>
      <c r="L442" s="97" t="s">
        <v>490</v>
      </c>
      <c r="M442" s="96" t="s">
        <v>585</v>
      </c>
      <c r="N442" s="97" t="s">
        <v>490</v>
      </c>
      <c r="O442" s="98" t="s">
        <v>485</v>
      </c>
      <c r="P442" s="40" t="s">
        <v>575</v>
      </c>
      <c r="Q442" s="40"/>
      <c r="R442" s="96" t="s">
        <v>581</v>
      </c>
      <c r="S442" s="96">
        <v>260315</v>
      </c>
      <c r="T442" s="59" t="s">
        <v>30</v>
      </c>
      <c r="U442" s="51" t="s">
        <v>31</v>
      </c>
      <c r="V442" s="72" t="s">
        <v>30</v>
      </c>
      <c r="W442" s="102" t="s">
        <v>588</v>
      </c>
      <c r="X442" s="72" t="s">
        <v>33</v>
      </c>
      <c r="Y442" s="51" t="str">
        <f t="shared" si="6"/>
        <v>260315_TPNB500477_0251_AXXXXXXXXX</v>
      </c>
      <c r="Z442" s="51" t="s">
        <v>34</v>
      </c>
      <c r="AA442" s="40" t="s">
        <v>35</v>
      </c>
      <c r="AB442" s="26"/>
      <c r="AC442" s="26"/>
    </row>
    <row r="443" ht="10" customHeight="1" spans="1:29">
      <c r="A443" s="26"/>
      <c r="B443" s="26"/>
      <c r="C443" s="59" t="s">
        <v>505</v>
      </c>
      <c r="D443" s="59" t="s">
        <v>242</v>
      </c>
      <c r="E443" s="59" t="s">
        <v>505</v>
      </c>
      <c r="F443" s="59" t="s">
        <v>242</v>
      </c>
      <c r="G443" s="59" t="s">
        <v>506</v>
      </c>
      <c r="H443" s="59" t="s">
        <v>242</v>
      </c>
      <c r="I443" s="59" t="s">
        <v>589</v>
      </c>
      <c r="J443" s="59" t="s">
        <v>508</v>
      </c>
      <c r="K443" s="59" t="s">
        <v>590</v>
      </c>
      <c r="L443" s="59" t="s">
        <v>508</v>
      </c>
      <c r="M443" s="59" t="s">
        <v>591</v>
      </c>
      <c r="N443" s="59" t="s">
        <v>508</v>
      </c>
      <c r="O443" s="69" t="s">
        <v>592</v>
      </c>
      <c r="P443" s="59" t="s">
        <v>512</v>
      </c>
      <c r="Q443" s="71" t="s">
        <v>513</v>
      </c>
      <c r="R443" s="59" t="s">
        <v>593</v>
      </c>
      <c r="S443" s="59">
        <v>260316</v>
      </c>
      <c r="T443" s="59" t="s">
        <v>30</v>
      </c>
      <c r="U443" s="26" t="s">
        <v>98</v>
      </c>
      <c r="V443" s="72" t="s">
        <v>30</v>
      </c>
      <c r="W443" s="102" t="s">
        <v>583</v>
      </c>
      <c r="X443" s="72" t="s">
        <v>33</v>
      </c>
      <c r="Y443" s="51" t="str">
        <f t="shared" si="6"/>
        <v>260316_TPNB500657_0186_AXXXXXXXXX</v>
      </c>
      <c r="Z443" s="51" t="s">
        <v>100</v>
      </c>
      <c r="AA443" s="51" t="s">
        <v>35</v>
      </c>
      <c r="AB443" s="26"/>
      <c r="AC443" s="26"/>
    </row>
    <row r="444" ht="10" customHeight="1" spans="1:29">
      <c r="A444" s="26"/>
      <c r="B444" s="26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71" t="s">
        <v>569</v>
      </c>
      <c r="R444" s="59"/>
      <c r="S444" s="59">
        <v>260316</v>
      </c>
      <c r="T444" s="59" t="s">
        <v>30</v>
      </c>
      <c r="U444" s="51" t="s">
        <v>85</v>
      </c>
      <c r="V444" s="72" t="s">
        <v>30</v>
      </c>
      <c r="W444" s="74" t="s">
        <v>249</v>
      </c>
      <c r="X444" s="72" t="s">
        <v>33</v>
      </c>
      <c r="Y444" s="51" t="str">
        <f t="shared" si="6"/>
        <v>260316_TPNB500597_0177_AXXXXXXXXX</v>
      </c>
      <c r="Z444" s="51" t="s">
        <v>87</v>
      </c>
      <c r="AA444" s="51" t="s">
        <v>35</v>
      </c>
      <c r="AB444" s="26"/>
      <c r="AC444" s="26"/>
    </row>
    <row r="445" ht="10" customHeight="1" spans="1:29">
      <c r="A445" s="26"/>
      <c r="B445" s="26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71" t="s">
        <v>569</v>
      </c>
      <c r="R445" s="59"/>
      <c r="S445" s="59">
        <v>260316</v>
      </c>
      <c r="T445" s="59" t="s">
        <v>30</v>
      </c>
      <c r="U445" s="51" t="s">
        <v>88</v>
      </c>
      <c r="V445" s="72" t="s">
        <v>30</v>
      </c>
      <c r="W445" s="40" t="s">
        <v>303</v>
      </c>
      <c r="X445" s="72" t="s">
        <v>33</v>
      </c>
      <c r="Y445" s="51" t="str">
        <f t="shared" si="6"/>
        <v>260316_TPNB500641_0187_AXXXXXXXXX</v>
      </c>
      <c r="Z445" s="51" t="s">
        <v>90</v>
      </c>
      <c r="AA445" s="51" t="s">
        <v>35</v>
      </c>
      <c r="AB445" s="26"/>
      <c r="AC445" s="26"/>
    </row>
    <row r="446" ht="10" customHeight="1" spans="1:29">
      <c r="A446" s="26"/>
      <c r="B446" s="26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71" t="s">
        <v>569</v>
      </c>
      <c r="R446" s="59"/>
      <c r="S446" s="59">
        <v>260316</v>
      </c>
      <c r="T446" s="59" t="s">
        <v>30</v>
      </c>
      <c r="U446" s="51" t="s">
        <v>36</v>
      </c>
      <c r="V446" s="72" t="s">
        <v>30</v>
      </c>
      <c r="W446" s="102" t="s">
        <v>594</v>
      </c>
      <c r="X446" s="72" t="s">
        <v>33</v>
      </c>
      <c r="Y446" s="51" t="str">
        <f t="shared" si="6"/>
        <v>260316_NDX551406_RUO_0370_AXXXXXXXXX</v>
      </c>
      <c r="Z446" s="51" t="s">
        <v>38</v>
      </c>
      <c r="AA446" s="51" t="s">
        <v>39</v>
      </c>
      <c r="AB446" s="26"/>
      <c r="AC446" s="26"/>
    </row>
    <row r="447" ht="10" customHeight="1" spans="1:29">
      <c r="A447" s="26"/>
      <c r="B447" s="26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71" t="s">
        <v>569</v>
      </c>
      <c r="R447" s="59"/>
      <c r="S447" s="59">
        <v>260316</v>
      </c>
      <c r="T447" s="59" t="s">
        <v>30</v>
      </c>
      <c r="U447" s="51" t="s">
        <v>92</v>
      </c>
      <c r="V447" s="72" t="s">
        <v>30</v>
      </c>
      <c r="W447" s="103" t="s">
        <v>595</v>
      </c>
      <c r="X447" s="72" t="s">
        <v>33</v>
      </c>
      <c r="Y447" s="51" t="str">
        <f t="shared" si="6"/>
        <v>260316_NDX550598_RUO_0138_AXXXXXXXXX</v>
      </c>
      <c r="Z447" s="51" t="s">
        <v>94</v>
      </c>
      <c r="AA447" s="51" t="s">
        <v>39</v>
      </c>
      <c r="AB447" s="26"/>
      <c r="AC447" s="26"/>
    </row>
    <row r="448" ht="10" customHeight="1" spans="1:29">
      <c r="A448" s="26"/>
      <c r="B448" s="26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71" t="s">
        <v>569</v>
      </c>
      <c r="R448" s="59"/>
      <c r="S448" s="59">
        <v>260316</v>
      </c>
      <c r="T448" s="59" t="s">
        <v>30</v>
      </c>
      <c r="U448" s="51" t="s">
        <v>95</v>
      </c>
      <c r="V448" s="72" t="s">
        <v>30</v>
      </c>
      <c r="W448" s="103" t="s">
        <v>161</v>
      </c>
      <c r="X448" s="72" t="s">
        <v>33</v>
      </c>
      <c r="Y448" s="51" t="str">
        <f t="shared" si="6"/>
        <v>260316_NDX550778_RUO_0161_AXXXXXXXXX</v>
      </c>
      <c r="Z448" s="51" t="s">
        <v>97</v>
      </c>
      <c r="AA448" s="51" t="s">
        <v>39</v>
      </c>
      <c r="AB448" s="26"/>
      <c r="AC448" s="26"/>
    </row>
    <row r="449" ht="10" customHeight="1" spans="1:29">
      <c r="A449" s="26"/>
      <c r="B449" s="26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71" t="s">
        <v>569</v>
      </c>
      <c r="R449" s="59"/>
      <c r="S449" s="59">
        <v>260316</v>
      </c>
      <c r="T449" s="59" t="s">
        <v>30</v>
      </c>
      <c r="U449" s="51" t="s">
        <v>85</v>
      </c>
      <c r="V449" s="72" t="s">
        <v>30</v>
      </c>
      <c r="W449" s="74" t="s">
        <v>250</v>
      </c>
      <c r="X449" s="72" t="s">
        <v>33</v>
      </c>
      <c r="Y449" s="51" t="str">
        <f t="shared" si="6"/>
        <v>260316_TPNB500597_0178_AXXXXXXXXX</v>
      </c>
      <c r="Z449" s="51" t="s">
        <v>87</v>
      </c>
      <c r="AA449" s="51" t="s">
        <v>35</v>
      </c>
      <c r="AB449" s="26"/>
      <c r="AC449" s="26"/>
    </row>
    <row r="450" ht="10" customHeight="1" spans="1:29">
      <c r="A450" s="26"/>
      <c r="B450" s="26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71" t="s">
        <v>569</v>
      </c>
      <c r="R450" s="59"/>
      <c r="S450" s="59">
        <v>260316</v>
      </c>
      <c r="T450" s="59" t="s">
        <v>30</v>
      </c>
      <c r="U450" s="51" t="s">
        <v>88</v>
      </c>
      <c r="V450" s="72" t="s">
        <v>30</v>
      </c>
      <c r="W450" s="40" t="s">
        <v>304</v>
      </c>
      <c r="X450" s="72" t="s">
        <v>33</v>
      </c>
      <c r="Y450" s="51" t="str">
        <f t="shared" ref="Y450:Y513" si="7">S450&amp;T450&amp;U450&amp;V450&amp;W450&amp;X450</f>
        <v>260316_TPNB500641_0188_AXXXXXXXXX</v>
      </c>
      <c r="Z450" s="51" t="s">
        <v>90</v>
      </c>
      <c r="AA450" s="51" t="s">
        <v>35</v>
      </c>
      <c r="AB450" s="26"/>
      <c r="AC450" s="26"/>
    </row>
    <row r="451" ht="10" customHeight="1" spans="1:29">
      <c r="A451" s="26"/>
      <c r="B451" s="26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71" t="s">
        <v>569</v>
      </c>
      <c r="R451" s="59"/>
      <c r="S451" s="59">
        <v>260316</v>
      </c>
      <c r="T451" s="59" t="s">
        <v>30</v>
      </c>
      <c r="U451" s="51" t="s">
        <v>92</v>
      </c>
      <c r="V451" s="72" t="s">
        <v>30</v>
      </c>
      <c r="W451" s="103" t="s">
        <v>438</v>
      </c>
      <c r="X451" s="72" t="s">
        <v>33</v>
      </c>
      <c r="Y451" s="51" t="str">
        <f t="shared" si="7"/>
        <v>260316_NDX550598_RUO_0139_AXXXXXXXXX</v>
      </c>
      <c r="Z451" s="51" t="s">
        <v>94</v>
      </c>
      <c r="AA451" s="51" t="s">
        <v>39</v>
      </c>
      <c r="AB451" s="26"/>
      <c r="AC451" s="26"/>
    </row>
    <row r="452" ht="10" customHeight="1" spans="1:29">
      <c r="A452" s="26"/>
      <c r="B452" s="26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71" t="s">
        <v>569</v>
      </c>
      <c r="R452" s="59"/>
      <c r="S452" s="59">
        <v>260316</v>
      </c>
      <c r="T452" s="59" t="s">
        <v>30</v>
      </c>
      <c r="U452" s="51" t="s">
        <v>95</v>
      </c>
      <c r="V452" s="72" t="s">
        <v>30</v>
      </c>
      <c r="W452" s="103" t="s">
        <v>428</v>
      </c>
      <c r="X452" s="72" t="s">
        <v>33</v>
      </c>
      <c r="Y452" s="51" t="str">
        <f t="shared" si="7"/>
        <v>260316_NDX550778_RUO_0162_AXXXXXXXXX</v>
      </c>
      <c r="Z452" s="51" t="s">
        <v>97</v>
      </c>
      <c r="AA452" s="51" t="s">
        <v>39</v>
      </c>
      <c r="AB452" s="26"/>
      <c r="AC452" s="26"/>
    </row>
    <row r="453" ht="10" customHeight="1" spans="1:29">
      <c r="A453" s="26"/>
      <c r="B453" s="26"/>
      <c r="C453" s="96" t="s">
        <v>596</v>
      </c>
      <c r="D453" s="97" t="s">
        <v>479</v>
      </c>
      <c r="E453" s="96" t="s">
        <v>491</v>
      </c>
      <c r="F453" s="97" t="s">
        <v>479</v>
      </c>
      <c r="G453" s="40" t="s">
        <v>491</v>
      </c>
      <c r="H453" s="97" t="s">
        <v>479</v>
      </c>
      <c r="I453" s="40" t="s">
        <v>482</v>
      </c>
      <c r="J453" s="97" t="s">
        <v>479</v>
      </c>
      <c r="K453" s="40" t="s">
        <v>483</v>
      </c>
      <c r="L453" s="97" t="s">
        <v>479</v>
      </c>
      <c r="M453" s="96" t="s">
        <v>597</v>
      </c>
      <c r="N453" s="97" t="s">
        <v>479</v>
      </c>
      <c r="O453" s="98" t="s">
        <v>485</v>
      </c>
      <c r="P453" s="40" t="s">
        <v>524</v>
      </c>
      <c r="Q453" s="97" t="s">
        <v>598</v>
      </c>
      <c r="R453" s="96" t="s">
        <v>593</v>
      </c>
      <c r="S453" s="96">
        <v>260316</v>
      </c>
      <c r="T453" s="59" t="s">
        <v>30</v>
      </c>
      <c r="U453" s="51" t="s">
        <v>31</v>
      </c>
      <c r="V453" s="72" t="s">
        <v>30</v>
      </c>
      <c r="W453" s="102" t="s">
        <v>599</v>
      </c>
      <c r="X453" s="72" t="s">
        <v>33</v>
      </c>
      <c r="Y453" s="51" t="str">
        <f t="shared" si="7"/>
        <v>260316_TPNB500477_0253_AXXXXXXXXX</v>
      </c>
      <c r="Z453" s="51" t="s">
        <v>34</v>
      </c>
      <c r="AA453" s="40" t="s">
        <v>35</v>
      </c>
      <c r="AB453" s="26"/>
      <c r="AC453" s="26"/>
    </row>
    <row r="454" ht="10" customHeight="1" spans="1:29">
      <c r="A454" s="26"/>
      <c r="B454" s="26"/>
      <c r="C454" s="96" t="s">
        <v>596</v>
      </c>
      <c r="D454" s="97" t="s">
        <v>490</v>
      </c>
      <c r="E454" s="96" t="s">
        <v>491</v>
      </c>
      <c r="F454" s="97" t="s">
        <v>490</v>
      </c>
      <c r="G454" s="40" t="s">
        <v>491</v>
      </c>
      <c r="H454" s="97" t="s">
        <v>490</v>
      </c>
      <c r="I454" s="40" t="s">
        <v>482</v>
      </c>
      <c r="J454" s="97" t="s">
        <v>490</v>
      </c>
      <c r="K454" s="40" t="s">
        <v>483</v>
      </c>
      <c r="L454" s="97" t="s">
        <v>490</v>
      </c>
      <c r="M454" s="96" t="s">
        <v>597</v>
      </c>
      <c r="N454" s="97" t="s">
        <v>490</v>
      </c>
      <c r="O454" s="98" t="s">
        <v>485</v>
      </c>
      <c r="P454" s="40" t="s">
        <v>562</v>
      </c>
      <c r="Q454" s="40"/>
      <c r="R454" s="96" t="s">
        <v>593</v>
      </c>
      <c r="S454" s="96">
        <v>260316</v>
      </c>
      <c r="T454" s="59" t="s">
        <v>30</v>
      </c>
      <c r="U454" s="51" t="s">
        <v>36</v>
      </c>
      <c r="V454" s="72" t="s">
        <v>30</v>
      </c>
      <c r="W454" s="102" t="s">
        <v>600</v>
      </c>
      <c r="X454" s="72" t="s">
        <v>33</v>
      </c>
      <c r="Y454" s="51" t="str">
        <f t="shared" si="7"/>
        <v>260316_NDX551406_RUO_0371_AXXXXXXXXX</v>
      </c>
      <c r="Z454" s="51" t="s">
        <v>38</v>
      </c>
      <c r="AA454" s="40" t="s">
        <v>39</v>
      </c>
      <c r="AB454" s="26"/>
      <c r="AC454" s="26"/>
    </row>
    <row r="455" ht="10" customHeight="1" spans="1:29">
      <c r="A455" s="26"/>
      <c r="B455" s="26"/>
      <c r="C455" s="59" t="s">
        <v>505</v>
      </c>
      <c r="D455" s="59" t="s">
        <v>242</v>
      </c>
      <c r="E455" s="59" t="s">
        <v>505</v>
      </c>
      <c r="F455" s="59" t="s">
        <v>242</v>
      </c>
      <c r="G455" s="59" t="s">
        <v>506</v>
      </c>
      <c r="H455" s="59" t="s">
        <v>242</v>
      </c>
      <c r="I455" s="59" t="s">
        <v>601</v>
      </c>
      <c r="J455" s="59" t="s">
        <v>508</v>
      </c>
      <c r="K455" s="59" t="s">
        <v>602</v>
      </c>
      <c r="L455" s="59" t="s">
        <v>508</v>
      </c>
      <c r="M455" s="59" t="s">
        <v>603</v>
      </c>
      <c r="N455" s="59" t="s">
        <v>508</v>
      </c>
      <c r="O455" s="69" t="s">
        <v>604</v>
      </c>
      <c r="P455" s="59" t="s">
        <v>512</v>
      </c>
      <c r="Q455" s="71" t="s">
        <v>513</v>
      </c>
      <c r="R455" s="59" t="s">
        <v>605</v>
      </c>
      <c r="S455" s="59">
        <v>260317</v>
      </c>
      <c r="T455" s="59" t="s">
        <v>30</v>
      </c>
      <c r="U455" s="26" t="s">
        <v>98</v>
      </c>
      <c r="V455" s="72" t="s">
        <v>30</v>
      </c>
      <c r="W455" s="102" t="s">
        <v>304</v>
      </c>
      <c r="X455" s="72" t="s">
        <v>33</v>
      </c>
      <c r="Y455" s="51" t="str">
        <f t="shared" si="7"/>
        <v>260317_TPNB500657_0188_AXXXXXXXXX</v>
      </c>
      <c r="Z455" s="51" t="s">
        <v>100</v>
      </c>
      <c r="AA455" s="51" t="s">
        <v>35</v>
      </c>
      <c r="AB455" s="26"/>
      <c r="AC455" s="26"/>
    </row>
    <row r="456" ht="10" customHeight="1" spans="1:29">
      <c r="A456" s="26"/>
      <c r="B456" s="26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71" t="s">
        <v>569</v>
      </c>
      <c r="R456" s="59"/>
      <c r="S456" s="59">
        <v>260317</v>
      </c>
      <c r="T456" s="59" t="s">
        <v>30</v>
      </c>
      <c r="U456" s="51" t="s">
        <v>85</v>
      </c>
      <c r="V456" s="72" t="s">
        <v>30</v>
      </c>
      <c r="W456" s="74" t="s">
        <v>275</v>
      </c>
      <c r="X456" s="72" t="s">
        <v>33</v>
      </c>
      <c r="Y456" s="51" t="str">
        <f t="shared" si="7"/>
        <v>260317_TPNB500597_0179_AXXXXXXXXX</v>
      </c>
      <c r="Z456" s="51" t="s">
        <v>87</v>
      </c>
      <c r="AA456" s="51" t="s">
        <v>35</v>
      </c>
      <c r="AB456" s="26"/>
      <c r="AC456" s="26"/>
    </row>
    <row r="457" ht="10" customHeight="1" spans="1:29">
      <c r="A457" s="26"/>
      <c r="B457" s="26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71" t="s">
        <v>569</v>
      </c>
      <c r="R457" s="59"/>
      <c r="S457" s="59">
        <v>260317</v>
      </c>
      <c r="T457" s="59" t="s">
        <v>30</v>
      </c>
      <c r="U457" s="51" t="s">
        <v>88</v>
      </c>
      <c r="V457" s="72" t="s">
        <v>30</v>
      </c>
      <c r="W457" s="40" t="s">
        <v>310</v>
      </c>
      <c r="X457" s="72" t="s">
        <v>33</v>
      </c>
      <c r="Y457" s="51" t="str">
        <f t="shared" si="7"/>
        <v>260317_TPNB500641_0189_AXXXXXXXXX</v>
      </c>
      <c r="Z457" s="51" t="s">
        <v>90</v>
      </c>
      <c r="AA457" s="51" t="s">
        <v>35</v>
      </c>
      <c r="AB457" s="26"/>
      <c r="AC457" s="26"/>
    </row>
    <row r="458" ht="10" customHeight="1" spans="1:29">
      <c r="A458" s="26"/>
      <c r="B458" s="26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71" t="s">
        <v>569</v>
      </c>
      <c r="R458" s="59"/>
      <c r="S458" s="59">
        <v>260317</v>
      </c>
      <c r="T458" s="59" t="s">
        <v>30</v>
      </c>
      <c r="U458" s="51" t="s">
        <v>36</v>
      </c>
      <c r="V458" s="72" t="s">
        <v>30</v>
      </c>
      <c r="W458" s="102" t="s">
        <v>606</v>
      </c>
      <c r="X458" s="72" t="s">
        <v>33</v>
      </c>
      <c r="Y458" s="51" t="str">
        <f t="shared" si="7"/>
        <v>260317_NDX551406_RUO_0372_AXXXXXXXXX</v>
      </c>
      <c r="Z458" s="51" t="s">
        <v>38</v>
      </c>
      <c r="AA458" s="51" t="s">
        <v>39</v>
      </c>
      <c r="AB458" s="26"/>
      <c r="AC458" s="26"/>
    </row>
    <row r="459" ht="10" customHeight="1" spans="1:29">
      <c r="A459" s="26"/>
      <c r="B459" s="26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71" t="s">
        <v>569</v>
      </c>
      <c r="R459" s="59"/>
      <c r="S459" s="59">
        <v>260317</v>
      </c>
      <c r="T459" s="59" t="s">
        <v>30</v>
      </c>
      <c r="U459" s="51" t="s">
        <v>92</v>
      </c>
      <c r="V459" s="72" t="s">
        <v>30</v>
      </c>
      <c r="W459" s="103" t="s">
        <v>441</v>
      </c>
      <c r="X459" s="72" t="s">
        <v>33</v>
      </c>
      <c r="Y459" s="51" t="str">
        <f t="shared" si="7"/>
        <v>260317_NDX550598_RUO_0140_AXXXXXXXXX</v>
      </c>
      <c r="Z459" s="51" t="s">
        <v>94</v>
      </c>
      <c r="AA459" s="51" t="s">
        <v>39</v>
      </c>
      <c r="AB459" s="26"/>
      <c r="AC459" s="26"/>
    </row>
    <row r="460" ht="10" customHeight="1" spans="1:29">
      <c r="A460" s="26"/>
      <c r="B460" s="26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71" t="s">
        <v>569</v>
      </c>
      <c r="R460" s="59"/>
      <c r="S460" s="59">
        <v>260317</v>
      </c>
      <c r="T460" s="59" t="s">
        <v>30</v>
      </c>
      <c r="U460" s="51" t="s">
        <v>95</v>
      </c>
      <c r="V460" s="72" t="s">
        <v>30</v>
      </c>
      <c r="W460" s="103" t="s">
        <v>173</v>
      </c>
      <c r="X460" s="72" t="s">
        <v>33</v>
      </c>
      <c r="Y460" s="51" t="str">
        <f t="shared" si="7"/>
        <v>260317_NDX550778_RUO_0163_AXXXXXXXXX</v>
      </c>
      <c r="Z460" s="51" t="s">
        <v>97</v>
      </c>
      <c r="AA460" s="51" t="s">
        <v>39</v>
      </c>
      <c r="AB460" s="26"/>
      <c r="AC460" s="26"/>
    </row>
    <row r="461" ht="10" customHeight="1" spans="1:29">
      <c r="A461" s="26"/>
      <c r="B461" s="26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71" t="s">
        <v>569</v>
      </c>
      <c r="R461" s="59"/>
      <c r="S461" s="59">
        <v>260317</v>
      </c>
      <c r="T461" s="59" t="s">
        <v>30</v>
      </c>
      <c r="U461" s="51" t="s">
        <v>85</v>
      </c>
      <c r="V461" s="72" t="s">
        <v>30</v>
      </c>
      <c r="W461" s="74" t="s">
        <v>276</v>
      </c>
      <c r="X461" s="72" t="s">
        <v>33</v>
      </c>
      <c r="Y461" s="51" t="str">
        <f t="shared" si="7"/>
        <v>260317_TPNB500597_0180_AXXXXXXXXX</v>
      </c>
      <c r="Z461" s="51" t="s">
        <v>87</v>
      </c>
      <c r="AA461" s="51" t="s">
        <v>35</v>
      </c>
      <c r="AB461" s="26"/>
      <c r="AC461" s="26"/>
    </row>
    <row r="462" ht="10" customHeight="1" spans="1:29">
      <c r="A462" s="26"/>
      <c r="B462" s="26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71" t="s">
        <v>569</v>
      </c>
      <c r="R462" s="59"/>
      <c r="S462" s="59">
        <v>260317</v>
      </c>
      <c r="T462" s="59" t="s">
        <v>30</v>
      </c>
      <c r="U462" s="51" t="s">
        <v>88</v>
      </c>
      <c r="V462" s="72" t="s">
        <v>30</v>
      </c>
      <c r="W462" s="40" t="s">
        <v>607</v>
      </c>
      <c r="X462" s="72" t="s">
        <v>33</v>
      </c>
      <c r="Y462" s="51" t="str">
        <f t="shared" si="7"/>
        <v>260317_TPNB500641_0190_AXXXXXXXXX</v>
      </c>
      <c r="Z462" s="51" t="s">
        <v>90</v>
      </c>
      <c r="AA462" s="51" t="s">
        <v>35</v>
      </c>
      <c r="AB462" s="26"/>
      <c r="AC462" s="26"/>
    </row>
    <row r="463" ht="10" customHeight="1" spans="1:29">
      <c r="A463" s="26"/>
      <c r="B463" s="26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71" t="s">
        <v>569</v>
      </c>
      <c r="R463" s="59"/>
      <c r="S463" s="59">
        <v>260317</v>
      </c>
      <c r="T463" s="59" t="s">
        <v>30</v>
      </c>
      <c r="U463" s="51" t="s">
        <v>92</v>
      </c>
      <c r="V463" s="72" t="s">
        <v>30</v>
      </c>
      <c r="W463" s="103" t="s">
        <v>373</v>
      </c>
      <c r="X463" s="72" t="s">
        <v>33</v>
      </c>
      <c r="Y463" s="51" t="str">
        <f t="shared" si="7"/>
        <v>260317_NDX550598_RUO_0141_AXXXXXXXXX</v>
      </c>
      <c r="Z463" s="51" t="s">
        <v>94</v>
      </c>
      <c r="AA463" s="51" t="s">
        <v>39</v>
      </c>
      <c r="AB463" s="26"/>
      <c r="AC463" s="26"/>
    </row>
    <row r="464" ht="10" customHeight="1" spans="1:29">
      <c r="A464" s="26"/>
      <c r="B464" s="26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71" t="s">
        <v>569</v>
      </c>
      <c r="R464" s="59"/>
      <c r="S464" s="59">
        <v>260317</v>
      </c>
      <c r="T464" s="59" t="s">
        <v>30</v>
      </c>
      <c r="U464" s="51" t="s">
        <v>95</v>
      </c>
      <c r="V464" s="72" t="s">
        <v>30</v>
      </c>
      <c r="W464" s="103" t="s">
        <v>439</v>
      </c>
      <c r="X464" s="72" t="s">
        <v>33</v>
      </c>
      <c r="Y464" s="51" t="str">
        <f t="shared" si="7"/>
        <v>260317_NDX550778_RUO_0164_AXXXXXXXXX</v>
      </c>
      <c r="Z464" s="51" t="s">
        <v>97</v>
      </c>
      <c r="AA464" s="51" t="s">
        <v>39</v>
      </c>
      <c r="AB464" s="26"/>
      <c r="AC464" s="26"/>
    </row>
    <row r="465" ht="10" customHeight="1" spans="1:29">
      <c r="A465" s="26"/>
      <c r="B465" s="26"/>
      <c r="C465" s="96" t="s">
        <v>608</v>
      </c>
      <c r="D465" s="97" t="s">
        <v>479</v>
      </c>
      <c r="E465" s="96" t="s">
        <v>491</v>
      </c>
      <c r="F465" s="97" t="s">
        <v>479</v>
      </c>
      <c r="G465" s="40" t="s">
        <v>491</v>
      </c>
      <c r="H465" s="97" t="s">
        <v>479</v>
      </c>
      <c r="I465" s="40" t="s">
        <v>482</v>
      </c>
      <c r="J465" s="97" t="s">
        <v>479</v>
      </c>
      <c r="K465" s="40" t="s">
        <v>483</v>
      </c>
      <c r="L465" s="97" t="s">
        <v>479</v>
      </c>
      <c r="M465" s="96" t="s">
        <v>609</v>
      </c>
      <c r="N465" s="97" t="s">
        <v>479</v>
      </c>
      <c r="O465" s="98" t="s">
        <v>485</v>
      </c>
      <c r="P465" s="40" t="s">
        <v>524</v>
      </c>
      <c r="Q465" s="97" t="s">
        <v>610</v>
      </c>
      <c r="R465" s="96" t="s">
        <v>605</v>
      </c>
      <c r="S465" s="96">
        <v>260317</v>
      </c>
      <c r="T465" s="59" t="s">
        <v>30</v>
      </c>
      <c r="U465" s="51" t="s">
        <v>31</v>
      </c>
      <c r="V465" s="72" t="s">
        <v>30</v>
      </c>
      <c r="W465" s="102" t="s">
        <v>611</v>
      </c>
      <c r="X465" s="72" t="s">
        <v>33</v>
      </c>
      <c r="Y465" s="51" t="str">
        <f t="shared" si="7"/>
        <v>260317_TPNB500477_0255_AXXXXXXXXX</v>
      </c>
      <c r="Z465" s="51" t="s">
        <v>34</v>
      </c>
      <c r="AA465" s="40" t="s">
        <v>35</v>
      </c>
      <c r="AB465" s="26"/>
      <c r="AC465" s="26"/>
    </row>
    <row r="466" ht="10" customHeight="1" spans="1:29">
      <c r="A466" s="26"/>
      <c r="B466" s="26"/>
      <c r="C466" s="96" t="s">
        <v>608</v>
      </c>
      <c r="D466" s="97" t="s">
        <v>490</v>
      </c>
      <c r="E466" s="96" t="s">
        <v>491</v>
      </c>
      <c r="F466" s="97" t="s">
        <v>490</v>
      </c>
      <c r="G466" s="40" t="s">
        <v>491</v>
      </c>
      <c r="H466" s="97" t="s">
        <v>490</v>
      </c>
      <c r="I466" s="40" t="s">
        <v>482</v>
      </c>
      <c r="J466" s="97" t="s">
        <v>490</v>
      </c>
      <c r="K466" s="40" t="s">
        <v>483</v>
      </c>
      <c r="L466" s="97" t="s">
        <v>490</v>
      </c>
      <c r="M466" s="96" t="s">
        <v>609</v>
      </c>
      <c r="N466" s="97" t="s">
        <v>490</v>
      </c>
      <c r="O466" s="98" t="s">
        <v>485</v>
      </c>
      <c r="P466" s="40" t="s">
        <v>562</v>
      </c>
      <c r="Q466" s="40"/>
      <c r="R466" s="96" t="s">
        <v>605</v>
      </c>
      <c r="S466" s="96">
        <v>260317</v>
      </c>
      <c r="T466" s="59" t="s">
        <v>30</v>
      </c>
      <c r="U466" s="51" t="s">
        <v>36</v>
      </c>
      <c r="V466" s="72" t="s">
        <v>30</v>
      </c>
      <c r="W466" s="102" t="s">
        <v>612</v>
      </c>
      <c r="X466" s="72" t="s">
        <v>33</v>
      </c>
      <c r="Y466" s="51" t="str">
        <f t="shared" si="7"/>
        <v>260317_NDX551406_RUO_0373_AXXXXXXXXX</v>
      </c>
      <c r="Z466" s="51" t="s">
        <v>38</v>
      </c>
      <c r="AA466" s="40" t="s">
        <v>39</v>
      </c>
      <c r="AB466" s="26"/>
      <c r="AC466" s="26"/>
    </row>
    <row r="467" ht="10" customHeight="1" spans="1:29">
      <c r="A467" s="26"/>
      <c r="B467" s="26"/>
      <c r="C467" s="59" t="s">
        <v>505</v>
      </c>
      <c r="D467" s="59" t="s">
        <v>242</v>
      </c>
      <c r="E467" s="59" t="s">
        <v>505</v>
      </c>
      <c r="F467" s="59" t="s">
        <v>242</v>
      </c>
      <c r="G467" s="59" t="s">
        <v>506</v>
      </c>
      <c r="H467" s="59" t="s">
        <v>242</v>
      </c>
      <c r="I467" s="59" t="s">
        <v>613</v>
      </c>
      <c r="J467" s="59" t="s">
        <v>508</v>
      </c>
      <c r="K467" s="59" t="s">
        <v>614</v>
      </c>
      <c r="L467" s="59" t="s">
        <v>508</v>
      </c>
      <c r="M467" s="59" t="s">
        <v>615</v>
      </c>
      <c r="N467" s="59" t="s">
        <v>508</v>
      </c>
      <c r="O467" s="69" t="s">
        <v>616</v>
      </c>
      <c r="P467" s="59" t="s">
        <v>512</v>
      </c>
      <c r="Q467" s="71" t="s">
        <v>513</v>
      </c>
      <c r="R467" s="59" t="s">
        <v>617</v>
      </c>
      <c r="S467" s="59">
        <v>260318</v>
      </c>
      <c r="T467" s="59" t="s">
        <v>30</v>
      </c>
      <c r="U467" s="26" t="s">
        <v>98</v>
      </c>
      <c r="V467" s="72" t="s">
        <v>30</v>
      </c>
      <c r="W467" s="102" t="s">
        <v>607</v>
      </c>
      <c r="X467" s="72" t="s">
        <v>33</v>
      </c>
      <c r="Y467" s="51" t="str">
        <f t="shared" si="7"/>
        <v>260318_TPNB500657_0190_AXXXXXXXXX</v>
      </c>
      <c r="Z467" s="51" t="s">
        <v>100</v>
      </c>
      <c r="AA467" s="51" t="s">
        <v>35</v>
      </c>
      <c r="AB467" s="26"/>
      <c r="AC467" s="26"/>
    </row>
    <row r="468" ht="10" customHeight="1" spans="1:29">
      <c r="A468" s="26"/>
      <c r="B468" s="26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71" t="s">
        <v>569</v>
      </c>
      <c r="R468" s="59"/>
      <c r="S468" s="59">
        <v>260318</v>
      </c>
      <c r="T468" s="59" t="s">
        <v>30</v>
      </c>
      <c r="U468" s="51" t="s">
        <v>85</v>
      </c>
      <c r="V468" s="72" t="s">
        <v>30</v>
      </c>
      <c r="W468" s="74" t="s">
        <v>282</v>
      </c>
      <c r="X468" s="72" t="s">
        <v>33</v>
      </c>
      <c r="Y468" s="51" t="str">
        <f t="shared" si="7"/>
        <v>260318_TPNB500597_0181_AXXXXXXXXX</v>
      </c>
      <c r="Z468" s="51" t="s">
        <v>87</v>
      </c>
      <c r="AA468" s="51" t="s">
        <v>35</v>
      </c>
      <c r="AB468" s="26"/>
      <c r="AC468" s="26"/>
    </row>
    <row r="469" ht="10" customHeight="1" spans="1:29">
      <c r="A469" s="26"/>
      <c r="B469" s="26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71" t="s">
        <v>569</v>
      </c>
      <c r="R469" s="59"/>
      <c r="S469" s="59">
        <v>260318</v>
      </c>
      <c r="T469" s="59" t="s">
        <v>30</v>
      </c>
      <c r="U469" s="51" t="s">
        <v>88</v>
      </c>
      <c r="V469" s="72" t="s">
        <v>30</v>
      </c>
      <c r="W469" s="40" t="s">
        <v>618</v>
      </c>
      <c r="X469" s="72" t="s">
        <v>33</v>
      </c>
      <c r="Y469" s="51" t="str">
        <f t="shared" si="7"/>
        <v>260318_TPNB500641_0191_AXXXXXXXXX</v>
      </c>
      <c r="Z469" s="51" t="s">
        <v>90</v>
      </c>
      <c r="AA469" s="51" t="s">
        <v>35</v>
      </c>
      <c r="AB469" s="26"/>
      <c r="AC469" s="26"/>
    </row>
    <row r="470" ht="10" customHeight="1" spans="1:29">
      <c r="A470" s="26"/>
      <c r="B470" s="26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71" t="s">
        <v>569</v>
      </c>
      <c r="R470" s="59"/>
      <c r="S470" s="59">
        <v>260318</v>
      </c>
      <c r="T470" s="59" t="s">
        <v>30</v>
      </c>
      <c r="U470" s="51" t="s">
        <v>36</v>
      </c>
      <c r="V470" s="72" t="s">
        <v>30</v>
      </c>
      <c r="W470" s="102" t="s">
        <v>619</v>
      </c>
      <c r="X470" s="72" t="s">
        <v>33</v>
      </c>
      <c r="Y470" s="51" t="str">
        <f t="shared" si="7"/>
        <v>260318_NDX551406_RUO_0374_AXXXXXXXXX</v>
      </c>
      <c r="Z470" s="51" t="s">
        <v>38</v>
      </c>
      <c r="AA470" s="51" t="s">
        <v>39</v>
      </c>
      <c r="AB470" s="26"/>
      <c r="AC470" s="26"/>
    </row>
    <row r="471" ht="10" customHeight="1" spans="1:29">
      <c r="A471" s="26"/>
      <c r="B471" s="26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71" t="s">
        <v>569</v>
      </c>
      <c r="R471" s="59"/>
      <c r="S471" s="59">
        <v>260318</v>
      </c>
      <c r="T471" s="59" t="s">
        <v>30</v>
      </c>
      <c r="U471" s="51" t="s">
        <v>92</v>
      </c>
      <c r="V471" s="72" t="s">
        <v>30</v>
      </c>
      <c r="W471" s="103" t="s">
        <v>451</v>
      </c>
      <c r="X471" s="72" t="s">
        <v>33</v>
      </c>
      <c r="Y471" s="51" t="str">
        <f t="shared" si="7"/>
        <v>260318_NDX550598_RUO_0142_AXXXXXXXXX</v>
      </c>
      <c r="Z471" s="51" t="s">
        <v>94</v>
      </c>
      <c r="AA471" s="51" t="s">
        <v>39</v>
      </c>
      <c r="AB471" s="26"/>
      <c r="AC471" s="26"/>
    </row>
    <row r="472" ht="10" customHeight="1" spans="1:29">
      <c r="A472" s="26"/>
      <c r="B472" s="26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71" t="s">
        <v>569</v>
      </c>
      <c r="R472" s="59"/>
      <c r="S472" s="59">
        <v>260318</v>
      </c>
      <c r="T472" s="59" t="s">
        <v>30</v>
      </c>
      <c r="U472" s="51" t="s">
        <v>95</v>
      </c>
      <c r="V472" s="72" t="s">
        <v>30</v>
      </c>
      <c r="W472" s="103" t="s">
        <v>185</v>
      </c>
      <c r="X472" s="72" t="s">
        <v>33</v>
      </c>
      <c r="Y472" s="51" t="str">
        <f t="shared" si="7"/>
        <v>260318_NDX550778_RUO_0165_AXXXXXXXXX</v>
      </c>
      <c r="Z472" s="51" t="s">
        <v>97</v>
      </c>
      <c r="AA472" s="51" t="s">
        <v>39</v>
      </c>
      <c r="AB472" s="26"/>
      <c r="AC472" s="26"/>
    </row>
    <row r="473" ht="10" customHeight="1" spans="1:29">
      <c r="A473" s="26"/>
      <c r="B473" s="26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71" t="s">
        <v>569</v>
      </c>
      <c r="R473" s="59"/>
      <c r="S473" s="59">
        <v>260318</v>
      </c>
      <c r="T473" s="59" t="s">
        <v>30</v>
      </c>
      <c r="U473" s="51" t="s">
        <v>85</v>
      </c>
      <c r="V473" s="72" t="s">
        <v>30</v>
      </c>
      <c r="W473" s="74" t="s">
        <v>283</v>
      </c>
      <c r="X473" s="72" t="s">
        <v>33</v>
      </c>
      <c r="Y473" s="51" t="str">
        <f t="shared" si="7"/>
        <v>260318_TPNB500597_0182_AXXXXXXXXX</v>
      </c>
      <c r="Z473" s="51" t="s">
        <v>87</v>
      </c>
      <c r="AA473" s="51" t="s">
        <v>35</v>
      </c>
      <c r="AB473" s="26"/>
      <c r="AC473" s="26"/>
    </row>
    <row r="474" ht="10" customHeight="1" spans="1:29">
      <c r="A474" s="26"/>
      <c r="B474" s="26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71" t="s">
        <v>569</v>
      </c>
      <c r="R474" s="59"/>
      <c r="S474" s="59">
        <v>260318</v>
      </c>
      <c r="T474" s="59" t="s">
        <v>30</v>
      </c>
      <c r="U474" s="51" t="s">
        <v>88</v>
      </c>
      <c r="V474" s="72" t="s">
        <v>30</v>
      </c>
      <c r="W474" s="40" t="s">
        <v>620</v>
      </c>
      <c r="X474" s="72" t="s">
        <v>33</v>
      </c>
      <c r="Y474" s="51" t="str">
        <f t="shared" si="7"/>
        <v>260318_TPNB500641_0192_AXXXXXXXXX</v>
      </c>
      <c r="Z474" s="51" t="s">
        <v>90</v>
      </c>
      <c r="AA474" s="51" t="s">
        <v>35</v>
      </c>
      <c r="AB474" s="26"/>
      <c r="AC474" s="26"/>
    </row>
    <row r="475" ht="10" customHeight="1" spans="1:29">
      <c r="A475" s="26"/>
      <c r="B475" s="26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71" t="s">
        <v>569</v>
      </c>
      <c r="R475" s="59"/>
      <c r="S475" s="59">
        <v>260318</v>
      </c>
      <c r="T475" s="59" t="s">
        <v>30</v>
      </c>
      <c r="U475" s="51" t="s">
        <v>92</v>
      </c>
      <c r="V475" s="72" t="s">
        <v>30</v>
      </c>
      <c r="W475" s="103" t="s">
        <v>50</v>
      </c>
      <c r="X475" s="72" t="s">
        <v>33</v>
      </c>
      <c r="Y475" s="51" t="str">
        <f t="shared" si="7"/>
        <v>260318_NDX550598_RUO_0143_AXXXXXXXXX</v>
      </c>
      <c r="Z475" s="51" t="s">
        <v>94</v>
      </c>
      <c r="AA475" s="51" t="s">
        <v>39</v>
      </c>
      <c r="AB475" s="26"/>
      <c r="AC475" s="26"/>
    </row>
    <row r="476" ht="10" customHeight="1" spans="1:29">
      <c r="A476" s="26"/>
      <c r="B476" s="26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71" t="s">
        <v>569</v>
      </c>
      <c r="R476" s="59"/>
      <c r="S476" s="59">
        <v>260318</v>
      </c>
      <c r="T476" s="59" t="s">
        <v>30</v>
      </c>
      <c r="U476" s="51" t="s">
        <v>95</v>
      </c>
      <c r="V476" s="72" t="s">
        <v>30</v>
      </c>
      <c r="W476" s="103" t="s">
        <v>449</v>
      </c>
      <c r="X476" s="72" t="s">
        <v>33</v>
      </c>
      <c r="Y476" s="51" t="str">
        <f t="shared" si="7"/>
        <v>260318_NDX550778_RUO_0166_AXXXXXXXXX</v>
      </c>
      <c r="Z476" s="51" t="s">
        <v>97</v>
      </c>
      <c r="AA476" s="51" t="s">
        <v>39</v>
      </c>
      <c r="AB476" s="26"/>
      <c r="AC476" s="26"/>
    </row>
    <row r="477" ht="10" customHeight="1" spans="1:29">
      <c r="A477" s="26"/>
      <c r="B477" s="26"/>
      <c r="C477" s="96" t="s">
        <v>621</v>
      </c>
      <c r="D477" s="97" t="s">
        <v>479</v>
      </c>
      <c r="E477" s="96" t="s">
        <v>480</v>
      </c>
      <c r="F477" s="97" t="s">
        <v>479</v>
      </c>
      <c r="G477" s="40" t="s">
        <v>481</v>
      </c>
      <c r="H477" s="97" t="s">
        <v>479</v>
      </c>
      <c r="I477" s="40" t="s">
        <v>482</v>
      </c>
      <c r="J477" s="97" t="s">
        <v>479</v>
      </c>
      <c r="K477" s="40" t="s">
        <v>483</v>
      </c>
      <c r="L477" s="97" t="s">
        <v>479</v>
      </c>
      <c r="M477" s="96" t="s">
        <v>622</v>
      </c>
      <c r="N477" s="97" t="s">
        <v>479</v>
      </c>
      <c r="O477" s="98" t="s">
        <v>485</v>
      </c>
      <c r="P477" s="40" t="s">
        <v>623</v>
      </c>
      <c r="Q477" s="97" t="s">
        <v>624</v>
      </c>
      <c r="R477" s="96" t="s">
        <v>617</v>
      </c>
      <c r="S477" s="96">
        <v>260318</v>
      </c>
      <c r="T477" s="59" t="s">
        <v>30</v>
      </c>
      <c r="U477" s="51" t="s">
        <v>36</v>
      </c>
      <c r="V477" s="72" t="s">
        <v>30</v>
      </c>
      <c r="W477" s="102" t="s">
        <v>625</v>
      </c>
      <c r="X477" s="72" t="s">
        <v>33</v>
      </c>
      <c r="Y477" s="51" t="str">
        <f t="shared" si="7"/>
        <v>260318_NDX551406_RUO_0375_AXXXXXXXXX</v>
      </c>
      <c r="Z477" s="51" t="s">
        <v>38</v>
      </c>
      <c r="AA477" s="40" t="s">
        <v>39</v>
      </c>
      <c r="AB477" s="26"/>
      <c r="AC477" s="26"/>
    </row>
    <row r="478" ht="10" customHeight="1" spans="1:29">
      <c r="A478" s="26"/>
      <c r="B478" s="26"/>
      <c r="C478" s="96" t="s">
        <v>621</v>
      </c>
      <c r="D478" s="97" t="s">
        <v>490</v>
      </c>
      <c r="E478" s="96" t="s">
        <v>480</v>
      </c>
      <c r="F478" s="97" t="s">
        <v>490</v>
      </c>
      <c r="G478" s="40" t="s">
        <v>481</v>
      </c>
      <c r="H478" s="97" t="s">
        <v>490</v>
      </c>
      <c r="I478" s="40" t="s">
        <v>482</v>
      </c>
      <c r="J478" s="97" t="s">
        <v>490</v>
      </c>
      <c r="K478" s="40" t="s">
        <v>483</v>
      </c>
      <c r="L478" s="97" t="s">
        <v>490</v>
      </c>
      <c r="M478" s="96" t="s">
        <v>622</v>
      </c>
      <c r="N478" s="97" t="s">
        <v>490</v>
      </c>
      <c r="O478" s="98" t="s">
        <v>485</v>
      </c>
      <c r="P478" s="40" t="s">
        <v>486</v>
      </c>
      <c r="Q478" s="40"/>
      <c r="R478" s="96" t="s">
        <v>617</v>
      </c>
      <c r="S478" s="96">
        <v>260318</v>
      </c>
      <c r="T478" s="59" t="s">
        <v>30</v>
      </c>
      <c r="U478" s="51" t="s">
        <v>31</v>
      </c>
      <c r="V478" s="72" t="s">
        <v>30</v>
      </c>
      <c r="W478" s="102" t="s">
        <v>626</v>
      </c>
      <c r="X478" s="72" t="s">
        <v>33</v>
      </c>
      <c r="Y478" s="51" t="str">
        <f t="shared" si="7"/>
        <v>260318_TPNB500477_0257_AXXXXXXXXX</v>
      </c>
      <c r="Z478" s="51" t="s">
        <v>34</v>
      </c>
      <c r="AA478" s="40" t="s">
        <v>35</v>
      </c>
      <c r="AB478" s="26"/>
      <c r="AC478" s="26"/>
    </row>
    <row r="479" ht="10" customHeight="1" spans="1:29">
      <c r="A479" s="26"/>
      <c r="B479" s="26"/>
      <c r="C479" s="59" t="s">
        <v>505</v>
      </c>
      <c r="D479" s="59" t="s">
        <v>242</v>
      </c>
      <c r="E479" s="59" t="s">
        <v>505</v>
      </c>
      <c r="F479" s="59" t="s">
        <v>242</v>
      </c>
      <c r="G479" s="59" t="s">
        <v>506</v>
      </c>
      <c r="H479" s="59" t="s">
        <v>242</v>
      </c>
      <c r="I479" s="59" t="s">
        <v>627</v>
      </c>
      <c r="J479" s="59" t="s">
        <v>508</v>
      </c>
      <c r="K479" s="59" t="s">
        <v>628</v>
      </c>
      <c r="L479" s="59" t="s">
        <v>508</v>
      </c>
      <c r="M479" s="59" t="s">
        <v>629</v>
      </c>
      <c r="N479" s="59" t="s">
        <v>508</v>
      </c>
      <c r="O479" s="69" t="s">
        <v>630</v>
      </c>
      <c r="P479" s="59" t="s">
        <v>512</v>
      </c>
      <c r="Q479" s="71" t="s">
        <v>513</v>
      </c>
      <c r="R479" s="59" t="s">
        <v>631</v>
      </c>
      <c r="S479" s="59">
        <v>260319</v>
      </c>
      <c r="T479" s="59" t="s">
        <v>30</v>
      </c>
      <c r="U479" s="26" t="s">
        <v>98</v>
      </c>
      <c r="V479" s="72" t="s">
        <v>30</v>
      </c>
      <c r="W479" s="102" t="s">
        <v>620</v>
      </c>
      <c r="X479" s="72" t="s">
        <v>33</v>
      </c>
      <c r="Y479" s="51" t="str">
        <f t="shared" si="7"/>
        <v>260319_TPNB500657_0192_AXXXXXXXXX</v>
      </c>
      <c r="Z479" s="51" t="s">
        <v>100</v>
      </c>
      <c r="AA479" s="51" t="s">
        <v>35</v>
      </c>
      <c r="AB479" s="26"/>
      <c r="AC479" s="26"/>
    </row>
    <row r="480" ht="10" customHeight="1" spans="1:29">
      <c r="A480" s="26"/>
      <c r="B480" s="26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71" t="s">
        <v>569</v>
      </c>
      <c r="R480" s="59"/>
      <c r="S480" s="59">
        <v>260319</v>
      </c>
      <c r="T480" s="59" t="s">
        <v>30</v>
      </c>
      <c r="U480" s="51" t="s">
        <v>85</v>
      </c>
      <c r="V480" s="72" t="s">
        <v>30</v>
      </c>
      <c r="W480" s="74" t="s">
        <v>289</v>
      </c>
      <c r="X480" s="72" t="s">
        <v>33</v>
      </c>
      <c r="Y480" s="51" t="str">
        <f t="shared" si="7"/>
        <v>260319_TPNB500597_0183_AXXXXXXXXX</v>
      </c>
      <c r="Z480" s="51" t="s">
        <v>87</v>
      </c>
      <c r="AA480" s="51" t="s">
        <v>35</v>
      </c>
      <c r="AB480" s="26"/>
      <c r="AC480" s="26"/>
    </row>
    <row r="481" ht="10" customHeight="1" spans="1:29">
      <c r="A481" s="26"/>
      <c r="B481" s="26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71" t="s">
        <v>569</v>
      </c>
      <c r="R481" s="59"/>
      <c r="S481" s="59">
        <v>260319</v>
      </c>
      <c r="T481" s="59" t="s">
        <v>30</v>
      </c>
      <c r="U481" s="51" t="s">
        <v>88</v>
      </c>
      <c r="V481" s="72" t="s">
        <v>30</v>
      </c>
      <c r="W481" s="40" t="s">
        <v>632</v>
      </c>
      <c r="X481" s="72" t="s">
        <v>33</v>
      </c>
      <c r="Y481" s="51" t="str">
        <f t="shared" si="7"/>
        <v>260319_TPNB500641_0193_AXXXXXXXXX</v>
      </c>
      <c r="Z481" s="51" t="s">
        <v>90</v>
      </c>
      <c r="AA481" s="51" t="s">
        <v>35</v>
      </c>
      <c r="AB481" s="26"/>
      <c r="AC481" s="26"/>
    </row>
    <row r="482" ht="10" customHeight="1" spans="1:29">
      <c r="A482" s="26"/>
      <c r="B482" s="26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71" t="s">
        <v>569</v>
      </c>
      <c r="R482" s="59"/>
      <c r="S482" s="59">
        <v>260319</v>
      </c>
      <c r="T482" s="59" t="s">
        <v>30</v>
      </c>
      <c r="U482" s="51" t="s">
        <v>36</v>
      </c>
      <c r="V482" s="72" t="s">
        <v>30</v>
      </c>
      <c r="W482" s="102" t="s">
        <v>633</v>
      </c>
      <c r="X482" s="72" t="s">
        <v>33</v>
      </c>
      <c r="Y482" s="51" t="str">
        <f t="shared" si="7"/>
        <v>260319_NDX551406_RUO_0376_AXXXXXXXXX</v>
      </c>
      <c r="Z482" s="51" t="s">
        <v>38</v>
      </c>
      <c r="AA482" s="51" t="s">
        <v>39</v>
      </c>
      <c r="AB482" s="26"/>
      <c r="AC482" s="26"/>
    </row>
    <row r="483" ht="10" customHeight="1" spans="1:29">
      <c r="A483" s="26"/>
      <c r="B483" s="26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71" t="s">
        <v>569</v>
      </c>
      <c r="R483" s="59"/>
      <c r="S483" s="59">
        <v>260319</v>
      </c>
      <c r="T483" s="59" t="s">
        <v>30</v>
      </c>
      <c r="U483" s="51" t="s">
        <v>92</v>
      </c>
      <c r="V483" s="72" t="s">
        <v>30</v>
      </c>
      <c r="W483" s="103" t="s">
        <v>60</v>
      </c>
      <c r="X483" s="72" t="s">
        <v>33</v>
      </c>
      <c r="Y483" s="51" t="str">
        <f t="shared" si="7"/>
        <v>260319_NDX550598_RUO_0144_AXXXXXXXXX</v>
      </c>
      <c r="Z483" s="51" t="s">
        <v>94</v>
      </c>
      <c r="AA483" s="51" t="s">
        <v>39</v>
      </c>
      <c r="AB483" s="26"/>
      <c r="AC483" s="26"/>
    </row>
    <row r="484" ht="10" customHeight="1" spans="1:29">
      <c r="A484" s="26"/>
      <c r="B484" s="26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71" t="s">
        <v>569</v>
      </c>
      <c r="R484" s="59"/>
      <c r="S484" s="59">
        <v>260319</v>
      </c>
      <c r="T484" s="59" t="s">
        <v>30</v>
      </c>
      <c r="U484" s="51" t="s">
        <v>95</v>
      </c>
      <c r="V484" s="72" t="s">
        <v>30</v>
      </c>
      <c r="W484" s="103" t="s">
        <v>197</v>
      </c>
      <c r="X484" s="72" t="s">
        <v>33</v>
      </c>
      <c r="Y484" s="51" t="str">
        <f t="shared" si="7"/>
        <v>260319_NDX550778_RUO_0167_AXXXXXXXXX</v>
      </c>
      <c r="Z484" s="51" t="s">
        <v>97</v>
      </c>
      <c r="AA484" s="51" t="s">
        <v>39</v>
      </c>
      <c r="AB484" s="26"/>
      <c r="AC484" s="26"/>
    </row>
    <row r="485" ht="10" customHeight="1" spans="1:29">
      <c r="A485" s="26"/>
      <c r="B485" s="26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71" t="s">
        <v>569</v>
      </c>
      <c r="R485" s="59"/>
      <c r="S485" s="59">
        <v>260319</v>
      </c>
      <c r="T485" s="59" t="s">
        <v>30</v>
      </c>
      <c r="U485" s="51" t="s">
        <v>85</v>
      </c>
      <c r="V485" s="72" t="s">
        <v>30</v>
      </c>
      <c r="W485" s="74" t="s">
        <v>290</v>
      </c>
      <c r="X485" s="72" t="s">
        <v>33</v>
      </c>
      <c r="Y485" s="51" t="str">
        <f t="shared" si="7"/>
        <v>260319_TPNB500597_0184_AXXXXXXXXX</v>
      </c>
      <c r="Z485" s="51" t="s">
        <v>87</v>
      </c>
      <c r="AA485" s="51" t="s">
        <v>35</v>
      </c>
      <c r="AB485" s="26"/>
      <c r="AC485" s="26"/>
    </row>
    <row r="486" ht="10" customHeight="1" spans="1:29">
      <c r="A486" s="26"/>
      <c r="B486" s="26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71" t="s">
        <v>569</v>
      </c>
      <c r="R486" s="59"/>
      <c r="S486" s="59">
        <v>260319</v>
      </c>
      <c r="T486" s="59" t="s">
        <v>30</v>
      </c>
      <c r="U486" s="51" t="s">
        <v>88</v>
      </c>
      <c r="V486" s="72" t="s">
        <v>30</v>
      </c>
      <c r="W486" s="40" t="s">
        <v>634</v>
      </c>
      <c r="X486" s="72" t="s">
        <v>33</v>
      </c>
      <c r="Y486" s="51" t="str">
        <f t="shared" si="7"/>
        <v>260319_TPNB500641_0194_AXXXXXXXXX</v>
      </c>
      <c r="Z486" s="51" t="s">
        <v>90</v>
      </c>
      <c r="AA486" s="51" t="s">
        <v>35</v>
      </c>
      <c r="AB486" s="26"/>
      <c r="AC486" s="26"/>
    </row>
    <row r="487" ht="10" customHeight="1" spans="1:29">
      <c r="A487" s="26"/>
      <c r="B487" s="26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71" t="s">
        <v>569</v>
      </c>
      <c r="R487" s="59"/>
      <c r="S487" s="59">
        <v>260319</v>
      </c>
      <c r="T487" s="59" t="s">
        <v>30</v>
      </c>
      <c r="U487" s="51" t="s">
        <v>92</v>
      </c>
      <c r="V487" s="72" t="s">
        <v>30</v>
      </c>
      <c r="W487" s="103" t="s">
        <v>70</v>
      </c>
      <c r="X487" s="72" t="s">
        <v>33</v>
      </c>
      <c r="Y487" s="51" t="str">
        <f t="shared" si="7"/>
        <v>260319_NDX550598_RUO_0145_AXXXXXXXXX</v>
      </c>
      <c r="Z487" s="51" t="s">
        <v>94</v>
      </c>
      <c r="AA487" s="51" t="s">
        <v>39</v>
      </c>
      <c r="AB487" s="26"/>
      <c r="AC487" s="26"/>
    </row>
    <row r="488" ht="10" customHeight="1" spans="1:29">
      <c r="A488" s="26"/>
      <c r="B488" s="26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71" t="s">
        <v>569</v>
      </c>
      <c r="R488" s="59"/>
      <c r="S488" s="59">
        <v>260319</v>
      </c>
      <c r="T488" s="59" t="s">
        <v>30</v>
      </c>
      <c r="U488" s="51" t="s">
        <v>95</v>
      </c>
      <c r="V488" s="72" t="s">
        <v>30</v>
      </c>
      <c r="W488" s="103" t="s">
        <v>532</v>
      </c>
      <c r="X488" s="72" t="s">
        <v>33</v>
      </c>
      <c r="Y488" s="51" t="str">
        <f t="shared" si="7"/>
        <v>260319_NDX550778_RUO_0168_AXXXXXXXXX</v>
      </c>
      <c r="Z488" s="51" t="s">
        <v>97</v>
      </c>
      <c r="AA488" s="51" t="s">
        <v>39</v>
      </c>
      <c r="AB488" s="26"/>
      <c r="AC488" s="26"/>
    </row>
    <row r="489" ht="10" customHeight="1" spans="1:29">
      <c r="A489" s="26"/>
      <c r="B489" s="26"/>
      <c r="C489" s="96" t="s">
        <v>635</v>
      </c>
      <c r="D489" s="97" t="s">
        <v>479</v>
      </c>
      <c r="E489" s="96" t="s">
        <v>480</v>
      </c>
      <c r="F489" s="97" t="s">
        <v>479</v>
      </c>
      <c r="G489" s="40" t="s">
        <v>481</v>
      </c>
      <c r="H489" s="97" t="s">
        <v>479</v>
      </c>
      <c r="I489" s="40" t="s">
        <v>482</v>
      </c>
      <c r="J489" s="97" t="s">
        <v>479</v>
      </c>
      <c r="K489" s="40" t="s">
        <v>483</v>
      </c>
      <c r="L489" s="97" t="s">
        <v>479</v>
      </c>
      <c r="M489" s="96" t="s">
        <v>636</v>
      </c>
      <c r="N489" s="97" t="s">
        <v>479</v>
      </c>
      <c r="O489" s="98" t="s">
        <v>485</v>
      </c>
      <c r="P489" s="40" t="s">
        <v>623</v>
      </c>
      <c r="Q489" s="97" t="s">
        <v>637</v>
      </c>
      <c r="R489" s="96" t="s">
        <v>631</v>
      </c>
      <c r="S489" s="96">
        <v>260319</v>
      </c>
      <c r="T489" s="59" t="s">
        <v>30</v>
      </c>
      <c r="U489" s="51" t="s">
        <v>36</v>
      </c>
      <c r="V489" s="72" t="s">
        <v>30</v>
      </c>
      <c r="W489" s="102" t="s">
        <v>638</v>
      </c>
      <c r="X489" s="72" t="s">
        <v>33</v>
      </c>
      <c r="Y489" s="51" t="str">
        <f t="shared" si="7"/>
        <v>260319_NDX551406_RUO_0377_AXXXXXXXXX</v>
      </c>
      <c r="Z489" s="51" t="s">
        <v>38</v>
      </c>
      <c r="AA489" s="40" t="s">
        <v>39</v>
      </c>
      <c r="AB489" s="26"/>
      <c r="AC489" s="26"/>
    </row>
    <row r="490" ht="10" customHeight="1" spans="1:29">
      <c r="A490" s="26"/>
      <c r="B490" s="26"/>
      <c r="C490" s="96" t="s">
        <v>635</v>
      </c>
      <c r="D490" s="97" t="s">
        <v>490</v>
      </c>
      <c r="E490" s="96" t="s">
        <v>480</v>
      </c>
      <c r="F490" s="97" t="s">
        <v>490</v>
      </c>
      <c r="G490" s="40" t="s">
        <v>481</v>
      </c>
      <c r="H490" s="97" t="s">
        <v>490</v>
      </c>
      <c r="I490" s="40" t="s">
        <v>482</v>
      </c>
      <c r="J490" s="97" t="s">
        <v>490</v>
      </c>
      <c r="K490" s="40" t="s">
        <v>483</v>
      </c>
      <c r="L490" s="97" t="s">
        <v>490</v>
      </c>
      <c r="M490" s="96" t="s">
        <v>636</v>
      </c>
      <c r="N490" s="97" t="s">
        <v>490</v>
      </c>
      <c r="O490" s="98" t="s">
        <v>485</v>
      </c>
      <c r="P490" s="40" t="s">
        <v>486</v>
      </c>
      <c r="Q490" s="40"/>
      <c r="R490" s="96" t="s">
        <v>631</v>
      </c>
      <c r="S490" s="96">
        <v>260319</v>
      </c>
      <c r="T490" s="59" t="s">
        <v>30</v>
      </c>
      <c r="U490" s="51" t="s">
        <v>31</v>
      </c>
      <c r="V490" s="72" t="s">
        <v>30</v>
      </c>
      <c r="W490" s="102" t="s">
        <v>639</v>
      </c>
      <c r="X490" s="72" t="s">
        <v>33</v>
      </c>
      <c r="Y490" s="51" t="str">
        <f t="shared" si="7"/>
        <v>260319_TPNB500477_0259_AXXXXXXXXX</v>
      </c>
      <c r="Z490" s="51" t="s">
        <v>34</v>
      </c>
      <c r="AA490" s="40" t="s">
        <v>35</v>
      </c>
      <c r="AB490" s="26"/>
      <c r="AC490" s="26"/>
    </row>
    <row r="491" ht="10" customHeight="1" spans="1:29">
      <c r="A491" s="26"/>
      <c r="B491" s="26"/>
      <c r="C491" s="59" t="s">
        <v>505</v>
      </c>
      <c r="D491" s="59" t="s">
        <v>242</v>
      </c>
      <c r="E491" s="59" t="s">
        <v>505</v>
      </c>
      <c r="F491" s="59" t="s">
        <v>242</v>
      </c>
      <c r="G491" s="59" t="s">
        <v>506</v>
      </c>
      <c r="H491" s="59" t="s">
        <v>242</v>
      </c>
      <c r="I491" s="59" t="s">
        <v>640</v>
      </c>
      <c r="J491" s="59" t="s">
        <v>508</v>
      </c>
      <c r="K491" s="59" t="s">
        <v>641</v>
      </c>
      <c r="L491" s="59" t="s">
        <v>508</v>
      </c>
      <c r="M491" s="59" t="s">
        <v>642</v>
      </c>
      <c r="N491" s="59" t="s">
        <v>508</v>
      </c>
      <c r="O491" s="69" t="s">
        <v>643</v>
      </c>
      <c r="P491" s="59" t="s">
        <v>512</v>
      </c>
      <c r="Q491" s="71" t="s">
        <v>513</v>
      </c>
      <c r="R491" s="59" t="s">
        <v>644</v>
      </c>
      <c r="S491" s="59">
        <v>260320</v>
      </c>
      <c r="T491" s="59" t="s">
        <v>30</v>
      </c>
      <c r="U491" s="26" t="s">
        <v>98</v>
      </c>
      <c r="V491" s="72" t="s">
        <v>30</v>
      </c>
      <c r="W491" s="102" t="s">
        <v>634</v>
      </c>
      <c r="X491" s="72" t="s">
        <v>33</v>
      </c>
      <c r="Y491" s="51" t="str">
        <f t="shared" si="7"/>
        <v>260320_TPNB500657_0194_AXXXXXXXXX</v>
      </c>
      <c r="Z491" s="51" t="s">
        <v>100</v>
      </c>
      <c r="AA491" s="51" t="s">
        <v>35</v>
      </c>
      <c r="AB491" s="26"/>
      <c r="AC491" s="26"/>
    </row>
    <row r="492" ht="10" customHeight="1" spans="1:29">
      <c r="A492" s="26"/>
      <c r="B492" s="26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71" t="s">
        <v>569</v>
      </c>
      <c r="R492" s="59"/>
      <c r="S492" s="59">
        <v>260320</v>
      </c>
      <c r="T492" s="59" t="s">
        <v>30</v>
      </c>
      <c r="U492" s="51" t="s">
        <v>85</v>
      </c>
      <c r="V492" s="72" t="s">
        <v>30</v>
      </c>
      <c r="W492" s="74" t="s">
        <v>296</v>
      </c>
      <c r="X492" s="72" t="s">
        <v>33</v>
      </c>
      <c r="Y492" s="51" t="str">
        <f t="shared" si="7"/>
        <v>260320_TPNB500597_0185_AXXXXXXXXX</v>
      </c>
      <c r="Z492" s="51" t="s">
        <v>87</v>
      </c>
      <c r="AA492" s="51" t="s">
        <v>35</v>
      </c>
      <c r="AB492" s="26"/>
      <c r="AC492" s="26"/>
    </row>
    <row r="493" ht="10" customHeight="1" spans="1:29">
      <c r="A493" s="26"/>
      <c r="B493" s="26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71" t="s">
        <v>569</v>
      </c>
      <c r="R493" s="59"/>
      <c r="S493" s="59">
        <v>260320</v>
      </c>
      <c r="T493" s="59" t="s">
        <v>30</v>
      </c>
      <c r="U493" s="51" t="s">
        <v>88</v>
      </c>
      <c r="V493" s="72" t="s">
        <v>30</v>
      </c>
      <c r="W493" s="40" t="s">
        <v>320</v>
      </c>
      <c r="X493" s="72" t="s">
        <v>33</v>
      </c>
      <c r="Y493" s="51" t="str">
        <f t="shared" si="7"/>
        <v>260320_TPNB500641_0195_AXXXXXXXXX</v>
      </c>
      <c r="Z493" s="51" t="s">
        <v>90</v>
      </c>
      <c r="AA493" s="51" t="s">
        <v>35</v>
      </c>
      <c r="AB493" s="26"/>
      <c r="AC493" s="26"/>
    </row>
    <row r="494" ht="10" customHeight="1" spans="1:29">
      <c r="A494" s="26"/>
      <c r="B494" s="26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71" t="s">
        <v>569</v>
      </c>
      <c r="R494" s="59"/>
      <c r="S494" s="59">
        <v>260320</v>
      </c>
      <c r="T494" s="59" t="s">
        <v>30</v>
      </c>
      <c r="U494" s="51" t="s">
        <v>36</v>
      </c>
      <c r="V494" s="72" t="s">
        <v>30</v>
      </c>
      <c r="W494" s="102" t="s">
        <v>645</v>
      </c>
      <c r="X494" s="72" t="s">
        <v>33</v>
      </c>
      <c r="Y494" s="51" t="str">
        <f t="shared" si="7"/>
        <v>260320_NDX551406_RUO_0378_AXXXXXXXXX</v>
      </c>
      <c r="Z494" s="51" t="s">
        <v>38</v>
      </c>
      <c r="AA494" s="51" t="s">
        <v>39</v>
      </c>
      <c r="AB494" s="26"/>
      <c r="AC494" s="26"/>
    </row>
    <row r="495" ht="10" customHeight="1" spans="1:29">
      <c r="A495" s="26"/>
      <c r="B495" s="26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71" t="s">
        <v>569</v>
      </c>
      <c r="R495" s="59"/>
      <c r="S495" s="59">
        <v>260320</v>
      </c>
      <c r="T495" s="59" t="s">
        <v>30</v>
      </c>
      <c r="U495" s="51" t="s">
        <v>92</v>
      </c>
      <c r="V495" s="72" t="s">
        <v>30</v>
      </c>
      <c r="W495" s="103" t="s">
        <v>326</v>
      </c>
      <c r="X495" s="72" t="s">
        <v>33</v>
      </c>
      <c r="Y495" s="51" t="str">
        <f t="shared" si="7"/>
        <v>260320_NDX550598_RUO_0146_AXXXXXXXXX</v>
      </c>
      <c r="Z495" s="51" t="s">
        <v>94</v>
      </c>
      <c r="AA495" s="51" t="s">
        <v>39</v>
      </c>
      <c r="AB495" s="26"/>
      <c r="AC495" s="26"/>
    </row>
    <row r="496" ht="10" customHeight="1" spans="1:29">
      <c r="A496" s="26"/>
      <c r="B496" s="26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71" t="s">
        <v>569</v>
      </c>
      <c r="R496" s="59"/>
      <c r="S496" s="59">
        <v>260320</v>
      </c>
      <c r="T496" s="59" t="s">
        <v>30</v>
      </c>
      <c r="U496" s="51" t="s">
        <v>95</v>
      </c>
      <c r="V496" s="72" t="s">
        <v>30</v>
      </c>
      <c r="W496" s="103" t="s">
        <v>209</v>
      </c>
      <c r="X496" s="72" t="s">
        <v>33</v>
      </c>
      <c r="Y496" s="51" t="str">
        <f t="shared" si="7"/>
        <v>260320_NDX550778_RUO_0169_AXXXXXXXXX</v>
      </c>
      <c r="Z496" s="51" t="s">
        <v>97</v>
      </c>
      <c r="AA496" s="51" t="s">
        <v>39</v>
      </c>
      <c r="AB496" s="26"/>
      <c r="AC496" s="26"/>
    </row>
    <row r="497" ht="10" customHeight="1" spans="1:29">
      <c r="A497" s="26"/>
      <c r="B497" s="26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71" t="s">
        <v>569</v>
      </c>
      <c r="R497" s="59"/>
      <c r="S497" s="59">
        <v>260320</v>
      </c>
      <c r="T497" s="59" t="s">
        <v>30</v>
      </c>
      <c r="U497" s="51" t="s">
        <v>85</v>
      </c>
      <c r="V497" s="72" t="s">
        <v>30</v>
      </c>
      <c r="W497" s="74" t="s">
        <v>583</v>
      </c>
      <c r="X497" s="72" t="s">
        <v>33</v>
      </c>
      <c r="Y497" s="51" t="str">
        <f t="shared" si="7"/>
        <v>260320_TPNB500597_0186_AXXXXXXXXX</v>
      </c>
      <c r="Z497" s="51" t="s">
        <v>87</v>
      </c>
      <c r="AA497" s="51" t="s">
        <v>35</v>
      </c>
      <c r="AB497" s="26"/>
      <c r="AC497" s="26"/>
    </row>
    <row r="498" ht="10" customHeight="1" spans="1:29">
      <c r="A498" s="26"/>
      <c r="B498" s="26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71" t="s">
        <v>569</v>
      </c>
      <c r="R498" s="59"/>
      <c r="S498" s="59">
        <v>260320</v>
      </c>
      <c r="T498" s="59" t="s">
        <v>30</v>
      </c>
      <c r="U498" s="51" t="s">
        <v>88</v>
      </c>
      <c r="V498" s="72" t="s">
        <v>30</v>
      </c>
      <c r="W498" s="40" t="s">
        <v>323</v>
      </c>
      <c r="X498" s="72" t="s">
        <v>33</v>
      </c>
      <c r="Y498" s="51" t="str">
        <f t="shared" si="7"/>
        <v>260320_TPNB500641_0196_AXXXXXXXXX</v>
      </c>
      <c r="Z498" s="51" t="s">
        <v>90</v>
      </c>
      <c r="AA498" s="51" t="s">
        <v>35</v>
      </c>
      <c r="AB498" s="26"/>
      <c r="AC498" s="26"/>
    </row>
    <row r="499" ht="10" customHeight="1" spans="1:29">
      <c r="A499" s="26"/>
      <c r="B499" s="26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71" t="s">
        <v>569</v>
      </c>
      <c r="R499" s="59"/>
      <c r="S499" s="59">
        <v>260320</v>
      </c>
      <c r="T499" s="59" t="s">
        <v>30</v>
      </c>
      <c r="U499" s="51" t="s">
        <v>92</v>
      </c>
      <c r="V499" s="72" t="s">
        <v>30</v>
      </c>
      <c r="W499" s="103" t="s">
        <v>335</v>
      </c>
      <c r="X499" s="72" t="s">
        <v>33</v>
      </c>
      <c r="Y499" s="51" t="str">
        <f t="shared" si="7"/>
        <v>260320_NDX550598_RUO_0147_AXXXXXXXXX</v>
      </c>
      <c r="Z499" s="51" t="s">
        <v>94</v>
      </c>
      <c r="AA499" s="51" t="s">
        <v>39</v>
      </c>
      <c r="AB499" s="26"/>
      <c r="AC499" s="26"/>
    </row>
    <row r="500" ht="10" customHeight="1" spans="1:29">
      <c r="A500" s="26"/>
      <c r="B500" s="26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71" t="s">
        <v>569</v>
      </c>
      <c r="R500" s="59"/>
      <c r="S500" s="59">
        <v>260320</v>
      </c>
      <c r="T500" s="59" t="s">
        <v>30</v>
      </c>
      <c r="U500" s="51" t="s">
        <v>95</v>
      </c>
      <c r="V500" s="72" t="s">
        <v>30</v>
      </c>
      <c r="W500" s="103" t="s">
        <v>545</v>
      </c>
      <c r="X500" s="72" t="s">
        <v>33</v>
      </c>
      <c r="Y500" s="51" t="str">
        <f t="shared" si="7"/>
        <v>260320_NDX550778_RUO_0170_AXXXXXXXXX</v>
      </c>
      <c r="Z500" s="51" t="s">
        <v>97</v>
      </c>
      <c r="AA500" s="51" t="s">
        <v>39</v>
      </c>
      <c r="AB500" s="26"/>
      <c r="AC500" s="26"/>
    </row>
    <row r="501" ht="10" customHeight="1" spans="1:29">
      <c r="A501" s="26"/>
      <c r="B501" s="26"/>
      <c r="C501" s="96" t="s">
        <v>646</v>
      </c>
      <c r="D501" s="97" t="s">
        <v>479</v>
      </c>
      <c r="E501" s="96" t="s">
        <v>480</v>
      </c>
      <c r="F501" s="97" t="s">
        <v>479</v>
      </c>
      <c r="G501" s="40" t="s">
        <v>481</v>
      </c>
      <c r="H501" s="97" t="s">
        <v>479</v>
      </c>
      <c r="I501" s="40" t="s">
        <v>482</v>
      </c>
      <c r="J501" s="97" t="s">
        <v>479</v>
      </c>
      <c r="K501" s="40" t="s">
        <v>483</v>
      </c>
      <c r="L501" s="97" t="s">
        <v>479</v>
      </c>
      <c r="M501" s="96" t="s">
        <v>647</v>
      </c>
      <c r="N501" s="97" t="s">
        <v>479</v>
      </c>
      <c r="O501" s="98" t="s">
        <v>485</v>
      </c>
      <c r="P501" s="40" t="s">
        <v>648</v>
      </c>
      <c r="Q501" s="97" t="s">
        <v>649</v>
      </c>
      <c r="R501" s="96" t="s">
        <v>644</v>
      </c>
      <c r="S501" s="96">
        <v>260320</v>
      </c>
      <c r="T501" s="59" t="s">
        <v>30</v>
      </c>
      <c r="U501" s="51" t="s">
        <v>31</v>
      </c>
      <c r="V501" s="72" t="s">
        <v>30</v>
      </c>
      <c r="W501" s="102" t="s">
        <v>650</v>
      </c>
      <c r="X501" s="72" t="s">
        <v>33</v>
      </c>
      <c r="Y501" s="51" t="str">
        <f t="shared" si="7"/>
        <v>260320_TPNB500477_0261_AXXXXXXXXX</v>
      </c>
      <c r="Z501" s="51" t="s">
        <v>34</v>
      </c>
      <c r="AA501" s="40" t="s">
        <v>35</v>
      </c>
      <c r="AB501" s="26"/>
      <c r="AC501" s="26"/>
    </row>
    <row r="502" ht="10" customHeight="1" spans="1:29">
      <c r="A502" s="26"/>
      <c r="B502" s="26"/>
      <c r="C502" s="96" t="s">
        <v>646</v>
      </c>
      <c r="D502" s="97" t="s">
        <v>490</v>
      </c>
      <c r="E502" s="96" t="s">
        <v>480</v>
      </c>
      <c r="F502" s="97" t="s">
        <v>490</v>
      </c>
      <c r="G502" s="40" t="s">
        <v>481</v>
      </c>
      <c r="H502" s="97" t="s">
        <v>490</v>
      </c>
      <c r="I502" s="40" t="s">
        <v>482</v>
      </c>
      <c r="J502" s="97" t="s">
        <v>490</v>
      </c>
      <c r="K502" s="40" t="s">
        <v>483</v>
      </c>
      <c r="L502" s="97" t="s">
        <v>490</v>
      </c>
      <c r="M502" s="96" t="s">
        <v>647</v>
      </c>
      <c r="N502" s="97" t="s">
        <v>490</v>
      </c>
      <c r="O502" s="98" t="s">
        <v>485</v>
      </c>
      <c r="P502" s="40" t="s">
        <v>520</v>
      </c>
      <c r="Q502" s="40"/>
      <c r="R502" s="96" t="s">
        <v>644</v>
      </c>
      <c r="S502" s="96">
        <v>260320</v>
      </c>
      <c r="T502" s="59" t="s">
        <v>30</v>
      </c>
      <c r="U502" s="51" t="s">
        <v>36</v>
      </c>
      <c r="V502" s="72" t="s">
        <v>30</v>
      </c>
      <c r="W502" s="102" t="s">
        <v>651</v>
      </c>
      <c r="X502" s="72" t="s">
        <v>33</v>
      </c>
      <c r="Y502" s="51" t="str">
        <f t="shared" si="7"/>
        <v>260320_NDX551406_RUO_0379_AXXXXXXXXX</v>
      </c>
      <c r="Z502" s="51" t="s">
        <v>38</v>
      </c>
      <c r="AA502" s="40" t="s">
        <v>39</v>
      </c>
      <c r="AB502" s="26"/>
      <c r="AC502" s="26"/>
    </row>
    <row r="503" ht="10" customHeight="1" spans="1:29">
      <c r="A503" s="26"/>
      <c r="B503" s="26"/>
      <c r="C503" s="59" t="s">
        <v>505</v>
      </c>
      <c r="D503" s="59" t="s">
        <v>242</v>
      </c>
      <c r="E503" s="59" t="s">
        <v>505</v>
      </c>
      <c r="F503" s="59" t="s">
        <v>242</v>
      </c>
      <c r="G503" s="59" t="s">
        <v>506</v>
      </c>
      <c r="H503" s="59" t="s">
        <v>242</v>
      </c>
      <c r="I503" s="59" t="s">
        <v>652</v>
      </c>
      <c r="J503" s="59" t="s">
        <v>508</v>
      </c>
      <c r="K503" s="59" t="s">
        <v>653</v>
      </c>
      <c r="L503" s="59" t="s">
        <v>508</v>
      </c>
      <c r="M503" s="59" t="s">
        <v>654</v>
      </c>
      <c r="N503" s="59" t="s">
        <v>508</v>
      </c>
      <c r="O503" s="69" t="s">
        <v>655</v>
      </c>
      <c r="P503" s="59" t="s">
        <v>512</v>
      </c>
      <c r="Q503" s="71" t="s">
        <v>513</v>
      </c>
      <c r="R503" s="59" t="s">
        <v>656</v>
      </c>
      <c r="S503" s="59">
        <v>260321</v>
      </c>
      <c r="T503" s="59" t="s">
        <v>30</v>
      </c>
      <c r="U503" s="26" t="s">
        <v>98</v>
      </c>
      <c r="V503" s="72" t="s">
        <v>30</v>
      </c>
      <c r="W503" s="102" t="s">
        <v>323</v>
      </c>
      <c r="X503" s="72" t="s">
        <v>33</v>
      </c>
      <c r="Y503" s="51" t="str">
        <f t="shared" si="7"/>
        <v>260321_TPNB500657_0196_AXXXXXXXXX</v>
      </c>
      <c r="Z503" s="51" t="s">
        <v>100</v>
      </c>
      <c r="AA503" s="51" t="s">
        <v>35</v>
      </c>
      <c r="AB503" s="26"/>
      <c r="AC503" s="26"/>
    </row>
    <row r="504" ht="10" customHeight="1" spans="1:29">
      <c r="A504" s="26"/>
      <c r="B504" s="26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71" t="s">
        <v>569</v>
      </c>
      <c r="R504" s="59"/>
      <c r="S504" s="59">
        <v>260321</v>
      </c>
      <c r="T504" s="59" t="s">
        <v>30</v>
      </c>
      <c r="U504" s="51" t="s">
        <v>85</v>
      </c>
      <c r="V504" s="72" t="s">
        <v>30</v>
      </c>
      <c r="W504" s="74" t="s">
        <v>303</v>
      </c>
      <c r="X504" s="72" t="s">
        <v>33</v>
      </c>
      <c r="Y504" s="51" t="str">
        <f t="shared" si="7"/>
        <v>260321_TPNB500597_0187_AXXXXXXXXX</v>
      </c>
      <c r="Z504" s="51" t="s">
        <v>87</v>
      </c>
      <c r="AA504" s="51" t="s">
        <v>35</v>
      </c>
      <c r="AB504" s="26"/>
      <c r="AC504" s="26"/>
    </row>
    <row r="505" ht="10" customHeight="1" spans="1:29">
      <c r="A505" s="26"/>
      <c r="B505" s="26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71" t="s">
        <v>569</v>
      </c>
      <c r="R505" s="59"/>
      <c r="S505" s="59">
        <v>260321</v>
      </c>
      <c r="T505" s="59" t="s">
        <v>30</v>
      </c>
      <c r="U505" s="51" t="s">
        <v>88</v>
      </c>
      <c r="V505" s="72" t="s">
        <v>30</v>
      </c>
      <c r="W505" s="40" t="s">
        <v>332</v>
      </c>
      <c r="X505" s="72" t="s">
        <v>33</v>
      </c>
      <c r="Y505" s="51" t="str">
        <f t="shared" si="7"/>
        <v>260321_TPNB500641_0197_AXXXXXXXXX</v>
      </c>
      <c r="Z505" s="51" t="s">
        <v>90</v>
      </c>
      <c r="AA505" s="51" t="s">
        <v>35</v>
      </c>
      <c r="AB505" s="26"/>
      <c r="AC505" s="26"/>
    </row>
    <row r="506" ht="10" customHeight="1" spans="1:29">
      <c r="A506" s="26"/>
      <c r="B506" s="26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71" t="s">
        <v>569</v>
      </c>
      <c r="R506" s="59"/>
      <c r="S506" s="59">
        <v>260321</v>
      </c>
      <c r="T506" s="59" t="s">
        <v>30</v>
      </c>
      <c r="U506" s="51" t="s">
        <v>36</v>
      </c>
      <c r="V506" s="72" t="s">
        <v>30</v>
      </c>
      <c r="W506" s="102" t="s">
        <v>657</v>
      </c>
      <c r="X506" s="72" t="s">
        <v>33</v>
      </c>
      <c r="Y506" s="51" t="str">
        <f t="shared" si="7"/>
        <v>260321_NDX551406_RUO_0380_AXXXXXXXXX</v>
      </c>
      <c r="Z506" s="51" t="s">
        <v>38</v>
      </c>
      <c r="AA506" s="51" t="s">
        <v>39</v>
      </c>
      <c r="AB506" s="26"/>
      <c r="AC506" s="26"/>
    </row>
    <row r="507" ht="10" customHeight="1" spans="1:29">
      <c r="A507" s="26"/>
      <c r="B507" s="26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71" t="s">
        <v>569</v>
      </c>
      <c r="R507" s="59"/>
      <c r="S507" s="59">
        <v>260321</v>
      </c>
      <c r="T507" s="59" t="s">
        <v>30</v>
      </c>
      <c r="U507" s="51" t="s">
        <v>92</v>
      </c>
      <c r="V507" s="72" t="s">
        <v>30</v>
      </c>
      <c r="W507" s="103" t="s">
        <v>339</v>
      </c>
      <c r="X507" s="72" t="s">
        <v>33</v>
      </c>
      <c r="Y507" s="51" t="str">
        <f t="shared" si="7"/>
        <v>260321_NDX550598_RUO_0148_AXXXXXXXXX</v>
      </c>
      <c r="Z507" s="51" t="s">
        <v>94</v>
      </c>
      <c r="AA507" s="51" t="s">
        <v>39</v>
      </c>
      <c r="AB507" s="26"/>
      <c r="AC507" s="26"/>
    </row>
    <row r="508" ht="10" customHeight="1" spans="1:29">
      <c r="A508" s="26"/>
      <c r="B508" s="26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71" t="s">
        <v>569</v>
      </c>
      <c r="R508" s="59"/>
      <c r="S508" s="59">
        <v>260321</v>
      </c>
      <c r="T508" s="59" t="s">
        <v>30</v>
      </c>
      <c r="U508" s="51" t="s">
        <v>95</v>
      </c>
      <c r="V508" s="72" t="s">
        <v>30</v>
      </c>
      <c r="W508" s="103" t="s">
        <v>220</v>
      </c>
      <c r="X508" s="72" t="s">
        <v>33</v>
      </c>
      <c r="Y508" s="51" t="str">
        <f t="shared" si="7"/>
        <v>260321_NDX550778_RUO_0171_AXXXXXXXXX</v>
      </c>
      <c r="Z508" s="51" t="s">
        <v>97</v>
      </c>
      <c r="AA508" s="51" t="s">
        <v>39</v>
      </c>
      <c r="AB508" s="26"/>
      <c r="AC508" s="26"/>
    </row>
    <row r="509" ht="10" customHeight="1" spans="1:29">
      <c r="A509" s="26"/>
      <c r="B509" s="26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71" t="s">
        <v>569</v>
      </c>
      <c r="R509" s="59"/>
      <c r="S509" s="59">
        <v>260321</v>
      </c>
      <c r="T509" s="59" t="s">
        <v>30</v>
      </c>
      <c r="U509" s="51" t="s">
        <v>85</v>
      </c>
      <c r="V509" s="72" t="s">
        <v>30</v>
      </c>
      <c r="W509" s="74" t="s">
        <v>304</v>
      </c>
      <c r="X509" s="72" t="s">
        <v>33</v>
      </c>
      <c r="Y509" s="51" t="str">
        <f t="shared" si="7"/>
        <v>260321_TPNB500597_0188_AXXXXXXXXX</v>
      </c>
      <c r="Z509" s="51" t="s">
        <v>87</v>
      </c>
      <c r="AA509" s="51" t="s">
        <v>35</v>
      </c>
      <c r="AB509" s="26"/>
      <c r="AC509" s="26"/>
    </row>
    <row r="510" ht="10" customHeight="1" spans="1:29">
      <c r="A510" s="26"/>
      <c r="B510" s="26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71" t="s">
        <v>569</v>
      </c>
      <c r="R510" s="59"/>
      <c r="S510" s="59">
        <v>260321</v>
      </c>
      <c r="T510" s="59" t="s">
        <v>30</v>
      </c>
      <c r="U510" s="51" t="s">
        <v>88</v>
      </c>
      <c r="V510" s="72" t="s">
        <v>30</v>
      </c>
      <c r="W510" s="40" t="s">
        <v>336</v>
      </c>
      <c r="X510" s="72" t="s">
        <v>33</v>
      </c>
      <c r="Y510" s="51" t="str">
        <f t="shared" si="7"/>
        <v>260321_TPNB500641_0198_AXXXXXXXXX</v>
      </c>
      <c r="Z510" s="51" t="s">
        <v>90</v>
      </c>
      <c r="AA510" s="51" t="s">
        <v>35</v>
      </c>
      <c r="AB510" s="26"/>
      <c r="AC510" s="26"/>
    </row>
    <row r="511" ht="10" customHeight="1" spans="1:29">
      <c r="A511" s="26"/>
      <c r="B511" s="26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71" t="s">
        <v>569</v>
      </c>
      <c r="R511" s="59"/>
      <c r="S511" s="59">
        <v>260321</v>
      </c>
      <c r="T511" s="59" t="s">
        <v>30</v>
      </c>
      <c r="U511" s="51" t="s">
        <v>92</v>
      </c>
      <c r="V511" s="72" t="s">
        <v>30</v>
      </c>
      <c r="W511" s="103" t="s">
        <v>348</v>
      </c>
      <c r="X511" s="72" t="s">
        <v>33</v>
      </c>
      <c r="Y511" s="51" t="str">
        <f t="shared" si="7"/>
        <v>260321_NDX550598_RUO_0149_AXXXXXXXXX</v>
      </c>
      <c r="Z511" s="51" t="s">
        <v>94</v>
      </c>
      <c r="AA511" s="51" t="s">
        <v>39</v>
      </c>
      <c r="AB511" s="26"/>
      <c r="AC511" s="26"/>
    </row>
    <row r="512" ht="10" customHeight="1" spans="1:29">
      <c r="A512" s="26"/>
      <c r="B512" s="26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71" t="s">
        <v>569</v>
      </c>
      <c r="R512" s="59"/>
      <c r="S512" s="59">
        <v>260321</v>
      </c>
      <c r="T512" s="59" t="s">
        <v>30</v>
      </c>
      <c r="U512" s="51" t="s">
        <v>95</v>
      </c>
      <c r="V512" s="72" t="s">
        <v>30</v>
      </c>
      <c r="W512" s="103" t="s">
        <v>477</v>
      </c>
      <c r="X512" s="72" t="s">
        <v>33</v>
      </c>
      <c r="Y512" s="51" t="str">
        <f t="shared" si="7"/>
        <v>260321_NDX550778_RUO_0172_AXXXXXXXXX</v>
      </c>
      <c r="Z512" s="51" t="s">
        <v>97</v>
      </c>
      <c r="AA512" s="51" t="s">
        <v>39</v>
      </c>
      <c r="AB512" s="26"/>
      <c r="AC512" s="26"/>
    </row>
    <row r="513" ht="10" customHeight="1" spans="1:29">
      <c r="A513" s="26"/>
      <c r="B513" s="26"/>
      <c r="C513" s="96" t="s">
        <v>658</v>
      </c>
      <c r="D513" s="97" t="s">
        <v>479</v>
      </c>
      <c r="E513" s="96" t="s">
        <v>480</v>
      </c>
      <c r="F513" s="97" t="s">
        <v>479</v>
      </c>
      <c r="G513" s="40" t="s">
        <v>481</v>
      </c>
      <c r="H513" s="97" t="s">
        <v>479</v>
      </c>
      <c r="I513" s="40" t="s">
        <v>482</v>
      </c>
      <c r="J513" s="97" t="s">
        <v>479</v>
      </c>
      <c r="K513" s="40" t="s">
        <v>483</v>
      </c>
      <c r="L513" s="97" t="s">
        <v>479</v>
      </c>
      <c r="M513" s="96" t="s">
        <v>659</v>
      </c>
      <c r="N513" s="97" t="s">
        <v>479</v>
      </c>
      <c r="O513" s="98" t="s">
        <v>485</v>
      </c>
      <c r="P513" s="40" t="s">
        <v>648</v>
      </c>
      <c r="Q513" s="97" t="s">
        <v>660</v>
      </c>
      <c r="R513" s="96" t="s">
        <v>656</v>
      </c>
      <c r="S513" s="96">
        <v>260321</v>
      </c>
      <c r="T513" s="59" t="s">
        <v>30</v>
      </c>
      <c r="U513" s="51" t="s">
        <v>31</v>
      </c>
      <c r="V513" s="72" t="s">
        <v>30</v>
      </c>
      <c r="W513" s="102" t="s">
        <v>661</v>
      </c>
      <c r="X513" s="72" t="s">
        <v>33</v>
      </c>
      <c r="Y513" s="51" t="str">
        <f t="shared" si="7"/>
        <v>260321_TPNB500477_0263_AXXXXXXXXX</v>
      </c>
      <c r="Z513" s="51" t="s">
        <v>34</v>
      </c>
      <c r="AA513" s="40" t="s">
        <v>35</v>
      </c>
      <c r="AB513" s="26"/>
      <c r="AC513" s="26"/>
    </row>
    <row r="514" ht="10" customHeight="1" spans="1:29">
      <c r="A514" s="26"/>
      <c r="B514" s="26"/>
      <c r="C514" s="96" t="s">
        <v>658</v>
      </c>
      <c r="D514" s="97" t="s">
        <v>490</v>
      </c>
      <c r="E514" s="96" t="s">
        <v>480</v>
      </c>
      <c r="F514" s="97" t="s">
        <v>490</v>
      </c>
      <c r="G514" s="40" t="s">
        <v>481</v>
      </c>
      <c r="H514" s="97" t="s">
        <v>490</v>
      </c>
      <c r="I514" s="40" t="s">
        <v>482</v>
      </c>
      <c r="J514" s="97" t="s">
        <v>490</v>
      </c>
      <c r="K514" s="40" t="s">
        <v>483</v>
      </c>
      <c r="L514" s="97" t="s">
        <v>490</v>
      </c>
      <c r="M514" s="96" t="s">
        <v>659</v>
      </c>
      <c r="N514" s="97" t="s">
        <v>490</v>
      </c>
      <c r="O514" s="98" t="s">
        <v>485</v>
      </c>
      <c r="P514" s="40" t="s">
        <v>520</v>
      </c>
      <c r="Q514" s="40"/>
      <c r="R514" s="96" t="s">
        <v>656</v>
      </c>
      <c r="S514" s="96">
        <v>260321</v>
      </c>
      <c r="T514" s="59" t="s">
        <v>30</v>
      </c>
      <c r="U514" s="51" t="s">
        <v>36</v>
      </c>
      <c r="V514" s="72" t="s">
        <v>30</v>
      </c>
      <c r="W514" s="102" t="s">
        <v>662</v>
      </c>
      <c r="X514" s="72" t="s">
        <v>33</v>
      </c>
      <c r="Y514" s="51" t="str">
        <f t="shared" ref="Y514:Y577" si="8">S514&amp;T514&amp;U514&amp;V514&amp;W514&amp;X514</f>
        <v>260321_NDX551406_RUO_0381_AXXXXXXXXX</v>
      </c>
      <c r="Z514" s="51" t="s">
        <v>38</v>
      </c>
      <c r="AA514" s="40" t="s">
        <v>39</v>
      </c>
      <c r="AB514" s="26"/>
      <c r="AC514" s="26"/>
    </row>
    <row r="515" ht="10" customHeight="1" spans="1:29">
      <c r="A515" s="26"/>
      <c r="B515" s="26"/>
      <c r="C515" s="59" t="s">
        <v>505</v>
      </c>
      <c r="D515" s="59" t="s">
        <v>242</v>
      </c>
      <c r="E515" s="59" t="s">
        <v>505</v>
      </c>
      <c r="F515" s="59" t="s">
        <v>242</v>
      </c>
      <c r="G515" s="59" t="s">
        <v>506</v>
      </c>
      <c r="H515" s="59" t="s">
        <v>242</v>
      </c>
      <c r="I515" s="59" t="s">
        <v>663</v>
      </c>
      <c r="J515" s="59" t="s">
        <v>508</v>
      </c>
      <c r="K515" s="59" t="s">
        <v>664</v>
      </c>
      <c r="L515" s="59" t="s">
        <v>508</v>
      </c>
      <c r="M515" s="59" t="s">
        <v>665</v>
      </c>
      <c r="N515" s="59" t="s">
        <v>508</v>
      </c>
      <c r="O515" s="69" t="s">
        <v>666</v>
      </c>
      <c r="P515" s="59" t="s">
        <v>512</v>
      </c>
      <c r="Q515" s="71" t="s">
        <v>513</v>
      </c>
      <c r="R515" s="59" t="s">
        <v>667</v>
      </c>
      <c r="S515" s="59">
        <v>260322</v>
      </c>
      <c r="T515" s="59" t="s">
        <v>30</v>
      </c>
      <c r="U515" s="26" t="s">
        <v>98</v>
      </c>
      <c r="V515" s="72" t="s">
        <v>30</v>
      </c>
      <c r="W515" s="102" t="s">
        <v>336</v>
      </c>
      <c r="X515" s="72" t="s">
        <v>33</v>
      </c>
      <c r="Y515" s="51" t="str">
        <f t="shared" si="8"/>
        <v>260322_TPNB500657_0198_AXXXXXXXXX</v>
      </c>
      <c r="Z515" s="51" t="s">
        <v>100</v>
      </c>
      <c r="AA515" s="51" t="s">
        <v>35</v>
      </c>
      <c r="AB515" s="26"/>
      <c r="AC515" s="26"/>
    </row>
    <row r="516" ht="10" customHeight="1" spans="1:29">
      <c r="A516" s="26"/>
      <c r="B516" s="26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71" t="s">
        <v>569</v>
      </c>
      <c r="R516" s="59"/>
      <c r="S516" s="59">
        <v>260322</v>
      </c>
      <c r="T516" s="59" t="s">
        <v>30</v>
      </c>
      <c r="U516" s="51" t="s">
        <v>85</v>
      </c>
      <c r="V516" s="72" t="s">
        <v>30</v>
      </c>
      <c r="W516" s="74" t="s">
        <v>310</v>
      </c>
      <c r="X516" s="72" t="s">
        <v>33</v>
      </c>
      <c r="Y516" s="51" t="str">
        <f t="shared" si="8"/>
        <v>260322_TPNB500597_0189_AXXXXXXXXX</v>
      </c>
      <c r="Z516" s="51" t="s">
        <v>87</v>
      </c>
      <c r="AA516" s="51" t="s">
        <v>35</v>
      </c>
      <c r="AB516" s="26"/>
      <c r="AC516" s="26"/>
    </row>
    <row r="517" ht="10" customHeight="1" spans="1:29">
      <c r="A517" s="26"/>
      <c r="B517" s="26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71" t="s">
        <v>569</v>
      </c>
      <c r="R517" s="59"/>
      <c r="S517" s="59">
        <v>260322</v>
      </c>
      <c r="T517" s="59" t="s">
        <v>30</v>
      </c>
      <c r="U517" s="51" t="s">
        <v>88</v>
      </c>
      <c r="V517" s="72" t="s">
        <v>30</v>
      </c>
      <c r="W517" s="40" t="s">
        <v>345</v>
      </c>
      <c r="X517" s="72" t="s">
        <v>33</v>
      </c>
      <c r="Y517" s="51" t="str">
        <f t="shared" si="8"/>
        <v>260322_TPNB500641_0199_AXXXXXXXXX</v>
      </c>
      <c r="Z517" s="51" t="s">
        <v>90</v>
      </c>
      <c r="AA517" s="51" t="s">
        <v>35</v>
      </c>
      <c r="AB517" s="26"/>
      <c r="AC517" s="26"/>
    </row>
    <row r="518" ht="10" customHeight="1" spans="1:29">
      <c r="A518" s="26"/>
      <c r="B518" s="26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71" t="s">
        <v>569</v>
      </c>
      <c r="R518" s="59"/>
      <c r="S518" s="59">
        <v>260322</v>
      </c>
      <c r="T518" s="59" t="s">
        <v>30</v>
      </c>
      <c r="U518" s="51" t="s">
        <v>36</v>
      </c>
      <c r="V518" s="72" t="s">
        <v>30</v>
      </c>
      <c r="W518" s="102" t="s">
        <v>668</v>
      </c>
      <c r="X518" s="72" t="s">
        <v>33</v>
      </c>
      <c r="Y518" s="51" t="str">
        <f t="shared" si="8"/>
        <v>260322_NDX551406_RUO_0382_AXXXXXXXXX</v>
      </c>
      <c r="Z518" s="51" t="s">
        <v>38</v>
      </c>
      <c r="AA518" s="51" t="s">
        <v>39</v>
      </c>
      <c r="AB518" s="26"/>
      <c r="AC518" s="26"/>
    </row>
    <row r="519" ht="10" customHeight="1" spans="1:29">
      <c r="A519" s="26"/>
      <c r="B519" s="26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71" t="s">
        <v>569</v>
      </c>
      <c r="R519" s="59"/>
      <c r="S519" s="59">
        <v>260322</v>
      </c>
      <c r="T519" s="59" t="s">
        <v>30</v>
      </c>
      <c r="U519" s="51" t="s">
        <v>92</v>
      </c>
      <c r="V519" s="72" t="s">
        <v>30</v>
      </c>
      <c r="W519" s="103" t="s">
        <v>352</v>
      </c>
      <c r="X519" s="72" t="s">
        <v>33</v>
      </c>
      <c r="Y519" s="51" t="str">
        <f t="shared" si="8"/>
        <v>260322_NDX550598_RUO_0150_AXXXXXXXXX</v>
      </c>
      <c r="Z519" s="51" t="s">
        <v>94</v>
      </c>
      <c r="AA519" s="51" t="s">
        <v>39</v>
      </c>
      <c r="AB519" s="26"/>
      <c r="AC519" s="26"/>
    </row>
    <row r="520" ht="10" customHeight="1" spans="1:29">
      <c r="A520" s="26"/>
      <c r="B520" s="26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71" t="s">
        <v>569</v>
      </c>
      <c r="R520" s="59"/>
      <c r="S520" s="59">
        <v>260322</v>
      </c>
      <c r="T520" s="59" t="s">
        <v>30</v>
      </c>
      <c r="U520" s="51" t="s">
        <v>95</v>
      </c>
      <c r="V520" s="72" t="s">
        <v>30</v>
      </c>
      <c r="W520" s="103" t="s">
        <v>230</v>
      </c>
      <c r="X520" s="72" t="s">
        <v>33</v>
      </c>
      <c r="Y520" s="51" t="str">
        <f t="shared" si="8"/>
        <v>260322_NDX550778_RUO_0173_AXXXXXXXXX</v>
      </c>
      <c r="Z520" s="51" t="s">
        <v>97</v>
      </c>
      <c r="AA520" s="51" t="s">
        <v>39</v>
      </c>
      <c r="AB520" s="26"/>
      <c r="AC520" s="26"/>
    </row>
    <row r="521" ht="10" customHeight="1" spans="1:29">
      <c r="A521" s="26"/>
      <c r="B521" s="26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71" t="s">
        <v>569</v>
      </c>
      <c r="R521" s="59"/>
      <c r="S521" s="59">
        <v>260322</v>
      </c>
      <c r="T521" s="59" t="s">
        <v>30</v>
      </c>
      <c r="U521" s="51" t="s">
        <v>85</v>
      </c>
      <c r="V521" s="72" t="s">
        <v>30</v>
      </c>
      <c r="W521" s="74" t="s">
        <v>607</v>
      </c>
      <c r="X521" s="72" t="s">
        <v>33</v>
      </c>
      <c r="Y521" s="51" t="str">
        <f t="shared" si="8"/>
        <v>260322_TPNB500597_0190_AXXXXXXXXX</v>
      </c>
      <c r="Z521" s="51" t="s">
        <v>87</v>
      </c>
      <c r="AA521" s="51" t="s">
        <v>35</v>
      </c>
      <c r="AB521" s="26"/>
      <c r="AC521" s="26"/>
    </row>
    <row r="522" ht="10" customHeight="1" spans="1:29">
      <c r="A522" s="26"/>
      <c r="B522" s="26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71" t="s">
        <v>569</v>
      </c>
      <c r="R522" s="59"/>
      <c r="S522" s="59">
        <v>260322</v>
      </c>
      <c r="T522" s="59" t="s">
        <v>30</v>
      </c>
      <c r="U522" s="51" t="s">
        <v>88</v>
      </c>
      <c r="V522" s="72" t="s">
        <v>30</v>
      </c>
      <c r="W522" s="40" t="s">
        <v>349</v>
      </c>
      <c r="X522" s="72" t="s">
        <v>33</v>
      </c>
      <c r="Y522" s="51" t="str">
        <f t="shared" si="8"/>
        <v>260322_TPNB500641_0200_AXXXXXXXXX</v>
      </c>
      <c r="Z522" s="51" t="s">
        <v>90</v>
      </c>
      <c r="AA522" s="51" t="s">
        <v>35</v>
      </c>
      <c r="AB522" s="26"/>
      <c r="AC522" s="26"/>
    </row>
    <row r="523" ht="10" customHeight="1" spans="1:29">
      <c r="A523" s="26"/>
      <c r="B523" s="26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71" t="s">
        <v>569</v>
      </c>
      <c r="R523" s="59"/>
      <c r="S523" s="59">
        <v>260322</v>
      </c>
      <c r="T523" s="59" t="s">
        <v>30</v>
      </c>
      <c r="U523" s="51" t="s">
        <v>92</v>
      </c>
      <c r="V523" s="72" t="s">
        <v>30</v>
      </c>
      <c r="W523" s="103" t="s">
        <v>360</v>
      </c>
      <c r="X523" s="72" t="s">
        <v>33</v>
      </c>
      <c r="Y523" s="51" t="str">
        <f t="shared" si="8"/>
        <v>260322_NDX550598_RUO_0151_AXXXXXXXXX</v>
      </c>
      <c r="Z523" s="51" t="s">
        <v>94</v>
      </c>
      <c r="AA523" s="51" t="s">
        <v>39</v>
      </c>
      <c r="AB523" s="26"/>
      <c r="AC523" s="26"/>
    </row>
    <row r="524" ht="10" customHeight="1" spans="1:29">
      <c r="A524" s="26"/>
      <c r="B524" s="26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71" t="s">
        <v>569</v>
      </c>
      <c r="R524" s="59"/>
      <c r="S524" s="59">
        <v>260322</v>
      </c>
      <c r="T524" s="59" t="s">
        <v>30</v>
      </c>
      <c r="U524" s="51" t="s">
        <v>95</v>
      </c>
      <c r="V524" s="72" t="s">
        <v>30</v>
      </c>
      <c r="W524" s="103" t="s">
        <v>515</v>
      </c>
      <c r="X524" s="72" t="s">
        <v>33</v>
      </c>
      <c r="Y524" s="51" t="str">
        <f t="shared" si="8"/>
        <v>260322_NDX550778_RUO_0174_AXXXXXXXXX</v>
      </c>
      <c r="Z524" s="51" t="s">
        <v>97</v>
      </c>
      <c r="AA524" s="51" t="s">
        <v>39</v>
      </c>
      <c r="AB524" s="26"/>
      <c r="AC524" s="26"/>
    </row>
    <row r="525" ht="10" customHeight="1" spans="1:29">
      <c r="A525" s="26"/>
      <c r="B525" s="26"/>
      <c r="C525" s="96" t="s">
        <v>669</v>
      </c>
      <c r="D525" s="97" t="s">
        <v>479</v>
      </c>
      <c r="E525" s="96" t="s">
        <v>480</v>
      </c>
      <c r="F525" s="97" t="s">
        <v>479</v>
      </c>
      <c r="G525" s="40" t="s">
        <v>481</v>
      </c>
      <c r="H525" s="97" t="s">
        <v>479</v>
      </c>
      <c r="I525" s="40" t="s">
        <v>482</v>
      </c>
      <c r="J525" s="97" t="s">
        <v>479</v>
      </c>
      <c r="K525" s="40" t="s">
        <v>483</v>
      </c>
      <c r="L525" s="97" t="s">
        <v>479</v>
      </c>
      <c r="M525" s="96" t="s">
        <v>670</v>
      </c>
      <c r="N525" s="97" t="s">
        <v>479</v>
      </c>
      <c r="O525" s="98" t="s">
        <v>485</v>
      </c>
      <c r="P525" s="40" t="s">
        <v>623</v>
      </c>
      <c r="Q525" s="97" t="s">
        <v>671</v>
      </c>
      <c r="R525" s="96" t="s">
        <v>667</v>
      </c>
      <c r="S525" s="96">
        <v>260322</v>
      </c>
      <c r="T525" s="59" t="s">
        <v>30</v>
      </c>
      <c r="U525" s="51" t="s">
        <v>36</v>
      </c>
      <c r="V525" s="72" t="s">
        <v>30</v>
      </c>
      <c r="W525" s="102" t="s">
        <v>672</v>
      </c>
      <c r="X525" s="72" t="s">
        <v>33</v>
      </c>
      <c r="Y525" s="51" t="str">
        <f t="shared" si="8"/>
        <v>260322_NDX551406_RUO_0383_AXXXXXXXXX</v>
      </c>
      <c r="Z525" s="51" t="s">
        <v>38</v>
      </c>
      <c r="AA525" s="40" t="s">
        <v>39</v>
      </c>
      <c r="AB525" s="26"/>
      <c r="AC525" s="26"/>
    </row>
    <row r="526" ht="10" customHeight="1" spans="1:29">
      <c r="A526" s="26"/>
      <c r="B526" s="26"/>
      <c r="C526" s="96" t="s">
        <v>669</v>
      </c>
      <c r="D526" s="97" t="s">
        <v>490</v>
      </c>
      <c r="E526" s="96" t="s">
        <v>480</v>
      </c>
      <c r="F526" s="97" t="s">
        <v>490</v>
      </c>
      <c r="G526" s="40" t="s">
        <v>481</v>
      </c>
      <c r="H526" s="97" t="s">
        <v>490</v>
      </c>
      <c r="I526" s="40" t="s">
        <v>482</v>
      </c>
      <c r="J526" s="97" t="s">
        <v>490</v>
      </c>
      <c r="K526" s="40" t="s">
        <v>483</v>
      </c>
      <c r="L526" s="97" t="s">
        <v>490</v>
      </c>
      <c r="M526" s="96" t="s">
        <v>670</v>
      </c>
      <c r="N526" s="97" t="s">
        <v>490</v>
      </c>
      <c r="O526" s="98" t="s">
        <v>485</v>
      </c>
      <c r="P526" s="40" t="s">
        <v>486</v>
      </c>
      <c r="Q526" s="40"/>
      <c r="R526" s="96" t="s">
        <v>667</v>
      </c>
      <c r="S526" s="96">
        <v>260322</v>
      </c>
      <c r="T526" s="59" t="s">
        <v>30</v>
      </c>
      <c r="U526" s="51" t="s">
        <v>31</v>
      </c>
      <c r="V526" s="72" t="s">
        <v>30</v>
      </c>
      <c r="W526" s="102" t="s">
        <v>673</v>
      </c>
      <c r="X526" s="72" t="s">
        <v>33</v>
      </c>
      <c r="Y526" s="51" t="str">
        <f t="shared" si="8"/>
        <v>260322_TPNB500477_0265_AXXXXXXXXX</v>
      </c>
      <c r="Z526" s="51" t="s">
        <v>34</v>
      </c>
      <c r="AA526" s="40" t="s">
        <v>35</v>
      </c>
      <c r="AB526" s="26"/>
      <c r="AC526" s="26"/>
    </row>
    <row r="527" ht="10" customHeight="1" spans="1:29">
      <c r="A527" s="26"/>
      <c r="B527" s="26"/>
      <c r="C527" s="59" t="s">
        <v>505</v>
      </c>
      <c r="D527" s="59" t="s">
        <v>242</v>
      </c>
      <c r="E527" s="59" t="s">
        <v>505</v>
      </c>
      <c r="F527" s="59" t="s">
        <v>242</v>
      </c>
      <c r="G527" s="59" t="s">
        <v>506</v>
      </c>
      <c r="H527" s="59" t="s">
        <v>242</v>
      </c>
      <c r="I527" s="59" t="s">
        <v>674</v>
      </c>
      <c r="J527" s="59" t="s">
        <v>508</v>
      </c>
      <c r="K527" s="59" t="s">
        <v>675</v>
      </c>
      <c r="L527" s="59" t="s">
        <v>508</v>
      </c>
      <c r="M527" s="59" t="s">
        <v>676</v>
      </c>
      <c r="N527" s="59" t="s">
        <v>508</v>
      </c>
      <c r="O527" s="69" t="s">
        <v>677</v>
      </c>
      <c r="P527" s="59" t="s">
        <v>512</v>
      </c>
      <c r="Q527" s="71" t="s">
        <v>513</v>
      </c>
      <c r="R527" s="59" t="s">
        <v>678</v>
      </c>
      <c r="S527" s="59">
        <v>260323</v>
      </c>
      <c r="T527" s="59" t="s">
        <v>30</v>
      </c>
      <c r="U527" s="26" t="s">
        <v>98</v>
      </c>
      <c r="V527" s="72" t="s">
        <v>30</v>
      </c>
      <c r="W527" s="102" t="s">
        <v>349</v>
      </c>
      <c r="X527" s="72" t="s">
        <v>33</v>
      </c>
      <c r="Y527" s="51" t="str">
        <f t="shared" si="8"/>
        <v>260323_TPNB500657_0200_AXXXXXXXXX</v>
      </c>
      <c r="Z527" s="51" t="s">
        <v>100</v>
      </c>
      <c r="AA527" s="51" t="s">
        <v>35</v>
      </c>
      <c r="AB527" s="26"/>
      <c r="AC527" s="26"/>
    </row>
    <row r="528" ht="10" customHeight="1" spans="1:29">
      <c r="A528" s="26"/>
      <c r="B528" s="26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71" t="s">
        <v>569</v>
      </c>
      <c r="R528" s="59"/>
      <c r="S528" s="59">
        <v>260323</v>
      </c>
      <c r="T528" s="59" t="s">
        <v>30</v>
      </c>
      <c r="U528" s="51" t="s">
        <v>85</v>
      </c>
      <c r="V528" s="72" t="s">
        <v>30</v>
      </c>
      <c r="W528" s="74" t="s">
        <v>618</v>
      </c>
      <c r="X528" s="72" t="s">
        <v>33</v>
      </c>
      <c r="Y528" s="51" t="str">
        <f t="shared" si="8"/>
        <v>260323_TPNB500597_0191_AXXXXXXXXX</v>
      </c>
      <c r="Z528" s="51" t="s">
        <v>87</v>
      </c>
      <c r="AA528" s="51" t="s">
        <v>35</v>
      </c>
      <c r="AB528" s="26"/>
      <c r="AC528" s="26"/>
    </row>
    <row r="529" ht="10" customHeight="1" spans="1:29">
      <c r="A529" s="26"/>
      <c r="B529" s="26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71" t="s">
        <v>569</v>
      </c>
      <c r="R529" s="59"/>
      <c r="S529" s="59">
        <v>260323</v>
      </c>
      <c r="T529" s="59" t="s">
        <v>30</v>
      </c>
      <c r="U529" s="51" t="s">
        <v>88</v>
      </c>
      <c r="V529" s="72" t="s">
        <v>30</v>
      </c>
      <c r="W529" s="40" t="s">
        <v>358</v>
      </c>
      <c r="X529" s="72" t="s">
        <v>33</v>
      </c>
      <c r="Y529" s="51" t="str">
        <f t="shared" si="8"/>
        <v>260323_TPNB500641_0201_AXXXXXXXXX</v>
      </c>
      <c r="Z529" s="51" t="s">
        <v>90</v>
      </c>
      <c r="AA529" s="51" t="s">
        <v>35</v>
      </c>
      <c r="AB529" s="26"/>
      <c r="AC529" s="26"/>
    </row>
    <row r="530" ht="10" customHeight="1" spans="1:29">
      <c r="A530" s="26"/>
      <c r="B530" s="26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71" t="s">
        <v>569</v>
      </c>
      <c r="R530" s="59"/>
      <c r="S530" s="59">
        <v>260323</v>
      </c>
      <c r="T530" s="59" t="s">
        <v>30</v>
      </c>
      <c r="U530" s="51" t="s">
        <v>36</v>
      </c>
      <c r="V530" s="72" t="s">
        <v>30</v>
      </c>
      <c r="W530" s="102" t="s">
        <v>679</v>
      </c>
      <c r="X530" s="72" t="s">
        <v>33</v>
      </c>
      <c r="Y530" s="51" t="str">
        <f t="shared" si="8"/>
        <v>260323_NDX551406_RUO_0384_AXXXXXXXXX</v>
      </c>
      <c r="Z530" s="51" t="s">
        <v>38</v>
      </c>
      <c r="AA530" s="51" t="s">
        <v>39</v>
      </c>
      <c r="AB530" s="26"/>
      <c r="AC530" s="26"/>
    </row>
    <row r="531" ht="10" customHeight="1" spans="1:29">
      <c r="A531" s="26"/>
      <c r="B531" s="26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71" t="s">
        <v>569</v>
      </c>
      <c r="R531" s="59"/>
      <c r="S531" s="59">
        <v>260323</v>
      </c>
      <c r="T531" s="59" t="s">
        <v>30</v>
      </c>
      <c r="U531" s="51" t="s">
        <v>92</v>
      </c>
      <c r="V531" s="72" t="s">
        <v>30</v>
      </c>
      <c r="W531" s="103" t="s">
        <v>363</v>
      </c>
      <c r="X531" s="72" t="s">
        <v>33</v>
      </c>
      <c r="Y531" s="51" t="str">
        <f t="shared" si="8"/>
        <v>260323_NDX550598_RUO_0152_AXXXXXXXXX</v>
      </c>
      <c r="Z531" s="51" t="s">
        <v>94</v>
      </c>
      <c r="AA531" s="51" t="s">
        <v>39</v>
      </c>
      <c r="AB531" s="26"/>
      <c r="AC531" s="26"/>
    </row>
    <row r="532" ht="10" customHeight="1" spans="1:29">
      <c r="A532" s="26"/>
      <c r="B532" s="26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71" t="s">
        <v>569</v>
      </c>
      <c r="R532" s="59"/>
      <c r="S532" s="59">
        <v>260323</v>
      </c>
      <c r="T532" s="59" t="s">
        <v>30</v>
      </c>
      <c r="U532" s="51" t="s">
        <v>95</v>
      </c>
      <c r="V532" s="72" t="s">
        <v>30</v>
      </c>
      <c r="W532" s="103" t="s">
        <v>240</v>
      </c>
      <c r="X532" s="72" t="s">
        <v>33</v>
      </c>
      <c r="Y532" s="51" t="str">
        <f t="shared" si="8"/>
        <v>260323_NDX550778_RUO_0175_AXXXXXXXXX</v>
      </c>
      <c r="Z532" s="51" t="s">
        <v>97</v>
      </c>
      <c r="AA532" s="51" t="s">
        <v>39</v>
      </c>
      <c r="AB532" s="26"/>
      <c r="AC532" s="26"/>
    </row>
    <row r="533" ht="10" customHeight="1" spans="1:29">
      <c r="A533" s="26"/>
      <c r="B533" s="26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71" t="s">
        <v>569</v>
      </c>
      <c r="R533" s="59"/>
      <c r="S533" s="59">
        <v>260323</v>
      </c>
      <c r="T533" s="59" t="s">
        <v>30</v>
      </c>
      <c r="U533" s="51" t="s">
        <v>85</v>
      </c>
      <c r="V533" s="72" t="s">
        <v>30</v>
      </c>
      <c r="W533" s="74" t="s">
        <v>620</v>
      </c>
      <c r="X533" s="72" t="s">
        <v>33</v>
      </c>
      <c r="Y533" s="51" t="str">
        <f t="shared" si="8"/>
        <v>260323_TPNB500597_0192_AXXXXXXXXX</v>
      </c>
      <c r="Z533" s="51" t="s">
        <v>87</v>
      </c>
      <c r="AA533" s="51" t="s">
        <v>35</v>
      </c>
      <c r="AB533" s="26"/>
      <c r="AC533" s="26"/>
    </row>
    <row r="534" ht="10" customHeight="1" spans="1:29">
      <c r="A534" s="26"/>
      <c r="B534" s="26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71" t="s">
        <v>569</v>
      </c>
      <c r="R534" s="59"/>
      <c r="S534" s="59">
        <v>260323</v>
      </c>
      <c r="T534" s="59" t="s">
        <v>30</v>
      </c>
      <c r="U534" s="51" t="s">
        <v>88</v>
      </c>
      <c r="V534" s="72" t="s">
        <v>30</v>
      </c>
      <c r="W534" s="40" t="s">
        <v>361</v>
      </c>
      <c r="X534" s="72" t="s">
        <v>33</v>
      </c>
      <c r="Y534" s="51" t="str">
        <f t="shared" si="8"/>
        <v>260323_TPNB500641_0202_AXXXXXXXXX</v>
      </c>
      <c r="Z534" s="51" t="s">
        <v>90</v>
      </c>
      <c r="AA534" s="51" t="s">
        <v>35</v>
      </c>
      <c r="AB534" s="26"/>
      <c r="AC534" s="26"/>
    </row>
    <row r="535" ht="10" customHeight="1" spans="1:29">
      <c r="A535" s="26"/>
      <c r="B535" s="26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71" t="s">
        <v>569</v>
      </c>
      <c r="R535" s="59"/>
      <c r="S535" s="59">
        <v>260323</v>
      </c>
      <c r="T535" s="59" t="s">
        <v>30</v>
      </c>
      <c r="U535" s="51" t="s">
        <v>92</v>
      </c>
      <c r="V535" s="72" t="s">
        <v>30</v>
      </c>
      <c r="W535" s="103" t="s">
        <v>84</v>
      </c>
      <c r="X535" s="72" t="s">
        <v>33</v>
      </c>
      <c r="Y535" s="51" t="str">
        <f t="shared" si="8"/>
        <v>260323_NDX550598_RUO_0153_AXXXXXXXXX</v>
      </c>
      <c r="Z535" s="51" t="s">
        <v>94</v>
      </c>
      <c r="AA535" s="51" t="s">
        <v>39</v>
      </c>
      <c r="AB535" s="26"/>
      <c r="AC535" s="26"/>
    </row>
    <row r="536" ht="10" customHeight="1" spans="1:29">
      <c r="A536" s="26"/>
      <c r="B536" s="26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71" t="s">
        <v>569</v>
      </c>
      <c r="R536" s="59"/>
      <c r="S536" s="59">
        <v>260323</v>
      </c>
      <c r="T536" s="59" t="s">
        <v>30</v>
      </c>
      <c r="U536" s="51" t="s">
        <v>95</v>
      </c>
      <c r="V536" s="72" t="s">
        <v>30</v>
      </c>
      <c r="W536" s="103" t="s">
        <v>517</v>
      </c>
      <c r="X536" s="72" t="s">
        <v>33</v>
      </c>
      <c r="Y536" s="51" t="str">
        <f t="shared" si="8"/>
        <v>260323_NDX550778_RUO_0176_AXXXXXXXXX</v>
      </c>
      <c r="Z536" s="51" t="s">
        <v>97</v>
      </c>
      <c r="AA536" s="51" t="s">
        <v>39</v>
      </c>
      <c r="AB536" s="26"/>
      <c r="AC536" s="26"/>
    </row>
    <row r="537" ht="10" customHeight="1" spans="1:29">
      <c r="A537" s="26"/>
      <c r="B537" s="26"/>
      <c r="C537" s="96" t="s">
        <v>680</v>
      </c>
      <c r="D537" s="97" t="s">
        <v>479</v>
      </c>
      <c r="E537" s="96" t="s">
        <v>491</v>
      </c>
      <c r="F537" s="97" t="s">
        <v>479</v>
      </c>
      <c r="G537" s="40" t="s">
        <v>491</v>
      </c>
      <c r="H537" s="97" t="s">
        <v>479</v>
      </c>
      <c r="I537" s="40" t="s">
        <v>482</v>
      </c>
      <c r="J537" s="97" t="s">
        <v>479</v>
      </c>
      <c r="K537" s="40" t="s">
        <v>483</v>
      </c>
      <c r="L537" s="97" t="s">
        <v>479</v>
      </c>
      <c r="M537" s="96" t="s">
        <v>681</v>
      </c>
      <c r="N537" s="97" t="s">
        <v>479</v>
      </c>
      <c r="O537" s="98" t="s">
        <v>485</v>
      </c>
      <c r="P537" s="40" t="s">
        <v>682</v>
      </c>
      <c r="Q537" s="97" t="s">
        <v>683</v>
      </c>
      <c r="R537" s="96" t="s">
        <v>678</v>
      </c>
      <c r="S537" s="96">
        <v>260323</v>
      </c>
      <c r="T537" s="59" t="s">
        <v>30</v>
      </c>
      <c r="U537" s="51" t="s">
        <v>36</v>
      </c>
      <c r="V537" s="72" t="s">
        <v>30</v>
      </c>
      <c r="W537" s="102" t="s">
        <v>684</v>
      </c>
      <c r="X537" s="72" t="s">
        <v>33</v>
      </c>
      <c r="Y537" s="51" t="str">
        <f t="shared" si="8"/>
        <v>260323_NDX551406_RUO_0385_AXXXXXXXXX</v>
      </c>
      <c r="Z537" s="51" t="s">
        <v>38</v>
      </c>
      <c r="AA537" s="40" t="s">
        <v>39</v>
      </c>
      <c r="AB537" s="26"/>
      <c r="AC537" s="26"/>
    </row>
    <row r="538" ht="10" customHeight="1" spans="1:29">
      <c r="A538" s="26"/>
      <c r="B538" s="26"/>
      <c r="C538" s="96" t="s">
        <v>685</v>
      </c>
      <c r="D538" s="97" t="s">
        <v>490</v>
      </c>
      <c r="E538" s="96" t="s">
        <v>480</v>
      </c>
      <c r="F538" s="97" t="s">
        <v>490</v>
      </c>
      <c r="G538" s="40" t="s">
        <v>481</v>
      </c>
      <c r="H538" s="97" t="s">
        <v>490</v>
      </c>
      <c r="I538" s="40" t="s">
        <v>482</v>
      </c>
      <c r="J538" s="97" t="s">
        <v>490</v>
      </c>
      <c r="K538" s="40" t="s">
        <v>483</v>
      </c>
      <c r="L538" s="97" t="s">
        <v>490</v>
      </c>
      <c r="M538" s="96" t="s">
        <v>681</v>
      </c>
      <c r="N538" s="97" t="s">
        <v>490</v>
      </c>
      <c r="O538" s="98" t="s">
        <v>485</v>
      </c>
      <c r="P538" s="40" t="s">
        <v>686</v>
      </c>
      <c r="Q538" s="40"/>
      <c r="R538" s="96" t="s">
        <v>678</v>
      </c>
      <c r="S538" s="96">
        <v>260323</v>
      </c>
      <c r="T538" s="59" t="s">
        <v>30</v>
      </c>
      <c r="U538" s="51" t="s">
        <v>31</v>
      </c>
      <c r="V538" s="72" t="s">
        <v>30</v>
      </c>
      <c r="W538" s="102" t="s">
        <v>687</v>
      </c>
      <c r="X538" s="72" t="s">
        <v>33</v>
      </c>
      <c r="Y538" s="51" t="str">
        <f t="shared" si="8"/>
        <v>260323_TPNB500477_0267_AXXXXXXXXX</v>
      </c>
      <c r="Z538" s="51" t="s">
        <v>34</v>
      </c>
      <c r="AA538" s="40" t="s">
        <v>35</v>
      </c>
      <c r="AB538" s="26"/>
      <c r="AC538" s="26"/>
    </row>
    <row r="539" ht="10" customHeight="1" spans="1:29">
      <c r="A539" s="26"/>
      <c r="B539" s="26"/>
      <c r="C539" s="59" t="s">
        <v>505</v>
      </c>
      <c r="D539" s="59" t="s">
        <v>242</v>
      </c>
      <c r="E539" s="59" t="s">
        <v>505</v>
      </c>
      <c r="F539" s="59" t="s">
        <v>242</v>
      </c>
      <c r="G539" s="59" t="s">
        <v>506</v>
      </c>
      <c r="H539" s="59" t="s">
        <v>242</v>
      </c>
      <c r="I539" s="59" t="s">
        <v>688</v>
      </c>
      <c r="J539" s="59" t="s">
        <v>508</v>
      </c>
      <c r="K539" s="59" t="s">
        <v>689</v>
      </c>
      <c r="L539" s="59" t="s">
        <v>508</v>
      </c>
      <c r="M539" s="59" t="s">
        <v>690</v>
      </c>
      <c r="N539" s="59" t="s">
        <v>508</v>
      </c>
      <c r="O539" s="69" t="s">
        <v>691</v>
      </c>
      <c r="P539" s="59" t="s">
        <v>512</v>
      </c>
      <c r="Q539" s="71" t="s">
        <v>513</v>
      </c>
      <c r="R539" s="59" t="s">
        <v>692</v>
      </c>
      <c r="S539" s="59">
        <v>260324</v>
      </c>
      <c r="T539" s="59" t="s">
        <v>30</v>
      </c>
      <c r="U539" s="26" t="s">
        <v>98</v>
      </c>
      <c r="V539" s="72" t="s">
        <v>30</v>
      </c>
      <c r="W539" s="102" t="s">
        <v>361</v>
      </c>
      <c r="X539" s="72" t="s">
        <v>33</v>
      </c>
      <c r="Y539" s="51" t="str">
        <f t="shared" si="8"/>
        <v>260324_TPNB500657_0202_AXXXXXXXXX</v>
      </c>
      <c r="Z539" s="51" t="s">
        <v>100</v>
      </c>
      <c r="AA539" s="51" t="s">
        <v>35</v>
      </c>
      <c r="AB539" s="26"/>
      <c r="AC539" s="26"/>
    </row>
    <row r="540" ht="10" customHeight="1" spans="1:29">
      <c r="A540" s="26"/>
      <c r="B540" s="26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71" t="s">
        <v>569</v>
      </c>
      <c r="R540" s="59"/>
      <c r="S540" s="59">
        <v>260324</v>
      </c>
      <c r="T540" s="59" t="s">
        <v>30</v>
      </c>
      <c r="U540" s="51" t="s">
        <v>85</v>
      </c>
      <c r="V540" s="72" t="s">
        <v>30</v>
      </c>
      <c r="W540" s="74" t="s">
        <v>632</v>
      </c>
      <c r="X540" s="72" t="s">
        <v>33</v>
      </c>
      <c r="Y540" s="51" t="str">
        <f t="shared" si="8"/>
        <v>260324_TPNB500597_0193_AXXXXXXXXX</v>
      </c>
      <c r="Z540" s="51" t="s">
        <v>87</v>
      </c>
      <c r="AA540" s="51" t="s">
        <v>35</v>
      </c>
      <c r="AB540" s="26"/>
      <c r="AC540" s="26"/>
    </row>
    <row r="541" ht="10" customHeight="1" spans="1:29">
      <c r="A541" s="26"/>
      <c r="B541" s="26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71" t="s">
        <v>569</v>
      </c>
      <c r="R541" s="59"/>
      <c r="S541" s="59">
        <v>260324</v>
      </c>
      <c r="T541" s="59" t="s">
        <v>30</v>
      </c>
      <c r="U541" s="51" t="s">
        <v>88</v>
      </c>
      <c r="V541" s="72" t="s">
        <v>30</v>
      </c>
      <c r="W541" s="40" t="s">
        <v>693</v>
      </c>
      <c r="X541" s="72" t="s">
        <v>33</v>
      </c>
      <c r="Y541" s="51" t="str">
        <f t="shared" si="8"/>
        <v>260324_TPNB500641_0203_AXXXXXXXXX</v>
      </c>
      <c r="Z541" s="51" t="s">
        <v>90</v>
      </c>
      <c r="AA541" s="51" t="s">
        <v>35</v>
      </c>
      <c r="AB541" s="26"/>
      <c r="AC541" s="26"/>
    </row>
    <row r="542" ht="10" customHeight="1" spans="1:29">
      <c r="A542" s="26"/>
      <c r="B542" s="26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71" t="s">
        <v>569</v>
      </c>
      <c r="R542" s="59"/>
      <c r="S542" s="59">
        <v>260324</v>
      </c>
      <c r="T542" s="59" t="s">
        <v>30</v>
      </c>
      <c r="U542" s="51" t="s">
        <v>36</v>
      </c>
      <c r="V542" s="72" t="s">
        <v>30</v>
      </c>
      <c r="W542" s="102" t="s">
        <v>694</v>
      </c>
      <c r="X542" s="72" t="s">
        <v>33</v>
      </c>
      <c r="Y542" s="51" t="str">
        <f t="shared" si="8"/>
        <v>260324_NDX551406_RUO_0386_AXXXXXXXXX</v>
      </c>
      <c r="Z542" s="51" t="s">
        <v>38</v>
      </c>
      <c r="AA542" s="51" t="s">
        <v>39</v>
      </c>
      <c r="AB542" s="26"/>
      <c r="AC542" s="26"/>
    </row>
    <row r="543" ht="10" customHeight="1" spans="1:29">
      <c r="A543" s="26"/>
      <c r="B543" s="26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71" t="s">
        <v>569</v>
      </c>
      <c r="R543" s="59"/>
      <c r="S543" s="59">
        <v>260324</v>
      </c>
      <c r="T543" s="59" t="s">
        <v>30</v>
      </c>
      <c r="U543" s="51" t="s">
        <v>92</v>
      </c>
      <c r="V543" s="72" t="s">
        <v>30</v>
      </c>
      <c r="W543" s="103" t="s">
        <v>391</v>
      </c>
      <c r="X543" s="72" t="s">
        <v>33</v>
      </c>
      <c r="Y543" s="51" t="str">
        <f t="shared" si="8"/>
        <v>260324_NDX550598_RUO_0154_AXXXXXXXXX</v>
      </c>
      <c r="Z543" s="51" t="s">
        <v>94</v>
      </c>
      <c r="AA543" s="51" t="s">
        <v>39</v>
      </c>
      <c r="AB543" s="26"/>
      <c r="AC543" s="26"/>
    </row>
    <row r="544" ht="10" customHeight="1" spans="1:29">
      <c r="A544" s="26"/>
      <c r="B544" s="26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71" t="s">
        <v>569</v>
      </c>
      <c r="R544" s="59"/>
      <c r="S544" s="59">
        <v>260324</v>
      </c>
      <c r="T544" s="59" t="s">
        <v>30</v>
      </c>
      <c r="U544" s="51" t="s">
        <v>95</v>
      </c>
      <c r="V544" s="72" t="s">
        <v>30</v>
      </c>
      <c r="W544" s="103" t="s">
        <v>249</v>
      </c>
      <c r="X544" s="72" t="s">
        <v>33</v>
      </c>
      <c r="Y544" s="51" t="str">
        <f t="shared" si="8"/>
        <v>260324_NDX550778_RUO_0177_AXXXXXXXXX</v>
      </c>
      <c r="Z544" s="51" t="s">
        <v>97</v>
      </c>
      <c r="AA544" s="51" t="s">
        <v>39</v>
      </c>
      <c r="AB544" s="26"/>
      <c r="AC544" s="26"/>
    </row>
    <row r="545" ht="10" customHeight="1" spans="1:29">
      <c r="A545" s="26"/>
      <c r="B545" s="26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71" t="s">
        <v>569</v>
      </c>
      <c r="R545" s="59"/>
      <c r="S545" s="59">
        <v>260324</v>
      </c>
      <c r="T545" s="59" t="s">
        <v>30</v>
      </c>
      <c r="U545" s="51" t="s">
        <v>85</v>
      </c>
      <c r="V545" s="72" t="s">
        <v>30</v>
      </c>
      <c r="W545" s="74" t="s">
        <v>634</v>
      </c>
      <c r="X545" s="72" t="s">
        <v>33</v>
      </c>
      <c r="Y545" s="51" t="str">
        <f t="shared" si="8"/>
        <v>260324_TPNB500597_0194_AXXXXXXXXX</v>
      </c>
      <c r="Z545" s="51" t="s">
        <v>87</v>
      </c>
      <c r="AA545" s="51" t="s">
        <v>35</v>
      </c>
      <c r="AB545" s="26"/>
      <c r="AC545" s="26"/>
    </row>
    <row r="546" ht="10" customHeight="1" spans="1:29">
      <c r="A546" s="26"/>
      <c r="B546" s="26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71" t="s">
        <v>569</v>
      </c>
      <c r="R546" s="59"/>
      <c r="S546" s="59">
        <v>260324</v>
      </c>
      <c r="T546" s="59" t="s">
        <v>30</v>
      </c>
      <c r="U546" s="51" t="s">
        <v>88</v>
      </c>
      <c r="V546" s="72" t="s">
        <v>30</v>
      </c>
      <c r="W546" s="40" t="s">
        <v>695</v>
      </c>
      <c r="X546" s="72" t="s">
        <v>33</v>
      </c>
      <c r="Y546" s="51" t="str">
        <f t="shared" si="8"/>
        <v>260324_TPNB500641_0204_AXXXXXXXXX</v>
      </c>
      <c r="Z546" s="51" t="s">
        <v>90</v>
      </c>
      <c r="AA546" s="51" t="s">
        <v>35</v>
      </c>
      <c r="AB546" s="26"/>
      <c r="AC546" s="26"/>
    </row>
    <row r="547" ht="10" customHeight="1" spans="1:29">
      <c r="A547" s="26"/>
      <c r="B547" s="26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71" t="s">
        <v>569</v>
      </c>
      <c r="R547" s="59"/>
      <c r="S547" s="59">
        <v>260324</v>
      </c>
      <c r="T547" s="59" t="s">
        <v>30</v>
      </c>
      <c r="U547" s="51" t="s">
        <v>92</v>
      </c>
      <c r="V547" s="72" t="s">
        <v>30</v>
      </c>
      <c r="W547" s="103" t="s">
        <v>115</v>
      </c>
      <c r="X547" s="72" t="s">
        <v>33</v>
      </c>
      <c r="Y547" s="51" t="str">
        <f t="shared" si="8"/>
        <v>260324_NDX550598_RUO_0155_AXXXXXXXXX</v>
      </c>
      <c r="Z547" s="51" t="s">
        <v>94</v>
      </c>
      <c r="AA547" s="51" t="s">
        <v>39</v>
      </c>
      <c r="AB547" s="26"/>
      <c r="AC547" s="26"/>
    </row>
    <row r="548" ht="10" customHeight="1" spans="1:29">
      <c r="A548" s="26"/>
      <c r="B548" s="26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71" t="s">
        <v>569</v>
      </c>
      <c r="R548" s="59"/>
      <c r="S548" s="59">
        <v>260324</v>
      </c>
      <c r="T548" s="59" t="s">
        <v>30</v>
      </c>
      <c r="U548" s="51" t="s">
        <v>95</v>
      </c>
      <c r="V548" s="72" t="s">
        <v>30</v>
      </c>
      <c r="W548" s="103" t="s">
        <v>250</v>
      </c>
      <c r="X548" s="72" t="s">
        <v>33</v>
      </c>
      <c r="Y548" s="51" t="str">
        <f t="shared" si="8"/>
        <v>260324_NDX550778_RUO_0178_AXXXXXXXXX</v>
      </c>
      <c r="Z548" s="51" t="s">
        <v>97</v>
      </c>
      <c r="AA548" s="51" t="s">
        <v>39</v>
      </c>
      <c r="AB548" s="26"/>
      <c r="AC548" s="26"/>
    </row>
    <row r="549" ht="10" customHeight="1" spans="1:29">
      <c r="A549" s="26"/>
      <c r="B549" s="26"/>
      <c r="C549" s="96" t="s">
        <v>696</v>
      </c>
      <c r="D549" s="97" t="s">
        <v>479</v>
      </c>
      <c r="E549" s="96" t="s">
        <v>491</v>
      </c>
      <c r="F549" s="97" t="s">
        <v>479</v>
      </c>
      <c r="G549" s="40" t="s">
        <v>491</v>
      </c>
      <c r="H549" s="97" t="s">
        <v>479</v>
      </c>
      <c r="I549" s="40" t="s">
        <v>482</v>
      </c>
      <c r="J549" s="97" t="s">
        <v>479</v>
      </c>
      <c r="K549" s="40" t="s">
        <v>483</v>
      </c>
      <c r="L549" s="97" t="s">
        <v>479</v>
      </c>
      <c r="M549" s="96" t="s">
        <v>697</v>
      </c>
      <c r="N549" s="97" t="s">
        <v>479</v>
      </c>
      <c r="O549" s="98" t="s">
        <v>485</v>
      </c>
      <c r="P549" s="40" t="s">
        <v>698</v>
      </c>
      <c r="Q549" s="97" t="s">
        <v>699</v>
      </c>
      <c r="R549" s="96" t="s">
        <v>692</v>
      </c>
      <c r="S549" s="96">
        <v>260324</v>
      </c>
      <c r="T549" s="59" t="s">
        <v>30</v>
      </c>
      <c r="U549" s="51" t="s">
        <v>31</v>
      </c>
      <c r="V549" s="72" t="s">
        <v>30</v>
      </c>
      <c r="W549" s="102" t="s">
        <v>700</v>
      </c>
      <c r="X549" s="72" t="s">
        <v>33</v>
      </c>
      <c r="Y549" s="51" t="str">
        <f t="shared" si="8"/>
        <v>260324_TPNB500477_0269_AXXXXXXXXX</v>
      </c>
      <c r="Z549" s="51" t="s">
        <v>34</v>
      </c>
      <c r="AA549" s="40" t="s">
        <v>35</v>
      </c>
      <c r="AB549" s="26"/>
      <c r="AC549" s="26"/>
    </row>
    <row r="550" ht="10" customHeight="1" spans="1:29">
      <c r="A550" s="26"/>
      <c r="B550" s="26"/>
      <c r="C550" s="96" t="s">
        <v>701</v>
      </c>
      <c r="D550" s="97" t="s">
        <v>490</v>
      </c>
      <c r="E550" s="96" t="s">
        <v>480</v>
      </c>
      <c r="F550" s="97" t="s">
        <v>490</v>
      </c>
      <c r="G550" s="40" t="s">
        <v>481</v>
      </c>
      <c r="H550" s="97" t="s">
        <v>490</v>
      </c>
      <c r="I550" s="40" t="s">
        <v>482</v>
      </c>
      <c r="J550" s="97" t="s">
        <v>490</v>
      </c>
      <c r="K550" s="40" t="s">
        <v>483</v>
      </c>
      <c r="L550" s="97" t="s">
        <v>490</v>
      </c>
      <c r="M550" s="96" t="s">
        <v>697</v>
      </c>
      <c r="N550" s="97" t="s">
        <v>490</v>
      </c>
      <c r="O550" s="98" t="s">
        <v>485</v>
      </c>
      <c r="P550" s="40" t="s">
        <v>702</v>
      </c>
      <c r="Q550" s="40"/>
      <c r="R550" s="96" t="s">
        <v>692</v>
      </c>
      <c r="S550" s="96">
        <v>260324</v>
      </c>
      <c r="T550" s="59" t="s">
        <v>30</v>
      </c>
      <c r="U550" s="51" t="s">
        <v>36</v>
      </c>
      <c r="V550" s="72" t="s">
        <v>30</v>
      </c>
      <c r="W550" s="102" t="s">
        <v>703</v>
      </c>
      <c r="X550" s="72" t="s">
        <v>33</v>
      </c>
      <c r="Y550" s="51" t="str">
        <f t="shared" si="8"/>
        <v>260324_NDX551406_RUO_0387_AXXXXXXXXX</v>
      </c>
      <c r="Z550" s="51" t="s">
        <v>38</v>
      </c>
      <c r="AA550" s="40" t="s">
        <v>39</v>
      </c>
      <c r="AB550" s="26"/>
      <c r="AC550" s="26"/>
    </row>
    <row r="551" ht="10" customHeight="1" spans="1:29">
      <c r="A551" s="26"/>
      <c r="B551" s="26"/>
      <c r="C551" s="59" t="s">
        <v>505</v>
      </c>
      <c r="D551" s="59" t="s">
        <v>242</v>
      </c>
      <c r="E551" s="59" t="s">
        <v>505</v>
      </c>
      <c r="F551" s="59" t="s">
        <v>242</v>
      </c>
      <c r="G551" s="59" t="s">
        <v>506</v>
      </c>
      <c r="H551" s="59" t="s">
        <v>242</v>
      </c>
      <c r="I551" s="59" t="s">
        <v>704</v>
      </c>
      <c r="J551" s="59" t="s">
        <v>508</v>
      </c>
      <c r="K551" s="59" t="s">
        <v>705</v>
      </c>
      <c r="L551" s="59" t="s">
        <v>508</v>
      </c>
      <c r="M551" s="59" t="s">
        <v>706</v>
      </c>
      <c r="N551" s="59" t="s">
        <v>508</v>
      </c>
      <c r="O551" s="69" t="s">
        <v>707</v>
      </c>
      <c r="P551" s="59" t="s">
        <v>512</v>
      </c>
      <c r="Q551" s="71" t="s">
        <v>513</v>
      </c>
      <c r="R551" s="59" t="s">
        <v>708</v>
      </c>
      <c r="S551" s="59">
        <v>260325</v>
      </c>
      <c r="T551" s="59" t="s">
        <v>30</v>
      </c>
      <c r="U551" s="26" t="s">
        <v>98</v>
      </c>
      <c r="V551" s="72" t="s">
        <v>30</v>
      </c>
      <c r="W551" s="102" t="s">
        <v>695</v>
      </c>
      <c r="X551" s="72" t="s">
        <v>33</v>
      </c>
      <c r="Y551" s="51" t="str">
        <f t="shared" si="8"/>
        <v>260325_TPNB500657_0204_AXXXXXXXXX</v>
      </c>
      <c r="Z551" s="51" t="s">
        <v>100</v>
      </c>
      <c r="AA551" s="51" t="s">
        <v>35</v>
      </c>
      <c r="AB551" s="26"/>
      <c r="AC551" s="26"/>
    </row>
    <row r="552" ht="10" customHeight="1" spans="1:29">
      <c r="A552" s="26"/>
      <c r="B552" s="26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71" t="s">
        <v>569</v>
      </c>
      <c r="R552" s="59"/>
      <c r="S552" s="59">
        <v>260325</v>
      </c>
      <c r="T552" s="59" t="s">
        <v>30</v>
      </c>
      <c r="U552" s="51" t="s">
        <v>85</v>
      </c>
      <c r="V552" s="72" t="s">
        <v>30</v>
      </c>
      <c r="W552" s="74" t="s">
        <v>320</v>
      </c>
      <c r="X552" s="72" t="s">
        <v>33</v>
      </c>
      <c r="Y552" s="51" t="str">
        <f t="shared" si="8"/>
        <v>260325_TPNB500597_0195_AXXXXXXXXX</v>
      </c>
      <c r="Z552" s="51" t="s">
        <v>87</v>
      </c>
      <c r="AA552" s="51" t="s">
        <v>35</v>
      </c>
      <c r="AB552" s="26"/>
      <c r="AC552" s="26"/>
    </row>
    <row r="553" ht="10" customHeight="1" spans="1:29">
      <c r="A553" s="26"/>
      <c r="B553" s="26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71" t="s">
        <v>569</v>
      </c>
      <c r="R553" s="59"/>
      <c r="S553" s="59">
        <v>260325</v>
      </c>
      <c r="T553" s="59" t="s">
        <v>30</v>
      </c>
      <c r="U553" s="51" t="s">
        <v>88</v>
      </c>
      <c r="V553" s="72" t="s">
        <v>30</v>
      </c>
      <c r="W553" s="40" t="s">
        <v>709</v>
      </c>
      <c r="X553" s="72" t="s">
        <v>33</v>
      </c>
      <c r="Y553" s="51" t="str">
        <f t="shared" si="8"/>
        <v>260325_TPNB500641_0205_AXXXXXXXXX</v>
      </c>
      <c r="Z553" s="51" t="s">
        <v>90</v>
      </c>
      <c r="AA553" s="51" t="s">
        <v>35</v>
      </c>
      <c r="AB553" s="26"/>
      <c r="AC553" s="26"/>
    </row>
    <row r="554" ht="10" customHeight="1" spans="1:29">
      <c r="A554" s="26"/>
      <c r="B554" s="26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71" t="s">
        <v>569</v>
      </c>
      <c r="R554" s="59"/>
      <c r="S554" s="59">
        <v>260325</v>
      </c>
      <c r="T554" s="59" t="s">
        <v>30</v>
      </c>
      <c r="U554" s="51" t="s">
        <v>36</v>
      </c>
      <c r="V554" s="72" t="s">
        <v>30</v>
      </c>
      <c r="W554" s="102" t="s">
        <v>710</v>
      </c>
      <c r="X554" s="72" t="s">
        <v>33</v>
      </c>
      <c r="Y554" s="51" t="str">
        <f t="shared" si="8"/>
        <v>260325_NDX551406_RUO_0388_AXXXXXXXXX</v>
      </c>
      <c r="Z554" s="51" t="s">
        <v>38</v>
      </c>
      <c r="AA554" s="51" t="s">
        <v>39</v>
      </c>
      <c r="AB554" s="26"/>
      <c r="AC554" s="26"/>
    </row>
    <row r="555" ht="10" customHeight="1" spans="1:29">
      <c r="A555" s="26"/>
      <c r="B555" s="26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71" t="s">
        <v>569</v>
      </c>
      <c r="R555" s="59"/>
      <c r="S555" s="59">
        <v>260325</v>
      </c>
      <c r="T555" s="59" t="s">
        <v>30</v>
      </c>
      <c r="U555" s="51" t="s">
        <v>92</v>
      </c>
      <c r="V555" s="72" t="s">
        <v>30</v>
      </c>
      <c r="W555" s="103" t="s">
        <v>400</v>
      </c>
      <c r="X555" s="72" t="s">
        <v>33</v>
      </c>
      <c r="Y555" s="51" t="str">
        <f t="shared" si="8"/>
        <v>260325_NDX550598_RUO_0156_AXXXXXXXXX</v>
      </c>
      <c r="Z555" s="51" t="s">
        <v>94</v>
      </c>
      <c r="AA555" s="51" t="s">
        <v>39</v>
      </c>
      <c r="AB555" s="26"/>
      <c r="AC555" s="26"/>
    </row>
    <row r="556" ht="10" customHeight="1" spans="1:29">
      <c r="A556" s="26"/>
      <c r="B556" s="26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71" t="s">
        <v>569</v>
      </c>
      <c r="R556" s="59"/>
      <c r="S556" s="59">
        <v>260325</v>
      </c>
      <c r="T556" s="59" t="s">
        <v>30</v>
      </c>
      <c r="U556" s="51" t="s">
        <v>95</v>
      </c>
      <c r="V556" s="72" t="s">
        <v>30</v>
      </c>
      <c r="W556" s="103" t="s">
        <v>275</v>
      </c>
      <c r="X556" s="72" t="s">
        <v>33</v>
      </c>
      <c r="Y556" s="51" t="str">
        <f t="shared" si="8"/>
        <v>260325_NDX550778_RUO_0179_AXXXXXXXXX</v>
      </c>
      <c r="Z556" s="51" t="s">
        <v>97</v>
      </c>
      <c r="AA556" s="51" t="s">
        <v>39</v>
      </c>
      <c r="AB556" s="26"/>
      <c r="AC556" s="26"/>
    </row>
    <row r="557" ht="10" customHeight="1" spans="1:29">
      <c r="A557" s="26"/>
      <c r="B557" s="26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71" t="s">
        <v>569</v>
      </c>
      <c r="R557" s="59"/>
      <c r="S557" s="59">
        <v>260325</v>
      </c>
      <c r="T557" s="59" t="s">
        <v>30</v>
      </c>
      <c r="U557" s="51" t="s">
        <v>85</v>
      </c>
      <c r="V557" s="72" t="s">
        <v>30</v>
      </c>
      <c r="W557" s="74" t="s">
        <v>323</v>
      </c>
      <c r="X557" s="72" t="s">
        <v>33</v>
      </c>
      <c r="Y557" s="51" t="str">
        <f t="shared" si="8"/>
        <v>260325_TPNB500597_0196_AXXXXXXXXX</v>
      </c>
      <c r="Z557" s="51" t="s">
        <v>87</v>
      </c>
      <c r="AA557" s="51" t="s">
        <v>35</v>
      </c>
      <c r="AB557" s="26"/>
      <c r="AC557" s="26"/>
    </row>
    <row r="558" ht="10" customHeight="1" spans="1:29">
      <c r="A558" s="26"/>
      <c r="B558" s="26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71" t="s">
        <v>569</v>
      </c>
      <c r="R558" s="59"/>
      <c r="S558" s="59">
        <v>260325</v>
      </c>
      <c r="T558" s="59" t="s">
        <v>30</v>
      </c>
      <c r="U558" s="51" t="s">
        <v>88</v>
      </c>
      <c r="V558" s="72" t="s">
        <v>30</v>
      </c>
      <c r="W558" s="40" t="s">
        <v>711</v>
      </c>
      <c r="X558" s="72" t="s">
        <v>33</v>
      </c>
      <c r="Y558" s="51" t="str">
        <f t="shared" si="8"/>
        <v>260325_TPNB500641_0206_AXXXXXXXXX</v>
      </c>
      <c r="Z558" s="51" t="s">
        <v>90</v>
      </c>
      <c r="AA558" s="51" t="s">
        <v>35</v>
      </c>
      <c r="AB558" s="26"/>
      <c r="AC558" s="26"/>
    </row>
    <row r="559" ht="10" customHeight="1" spans="1:29">
      <c r="A559" s="26"/>
      <c r="B559" s="26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71" t="s">
        <v>569</v>
      </c>
      <c r="R559" s="59"/>
      <c r="S559" s="59">
        <v>260325</v>
      </c>
      <c r="T559" s="59" t="s">
        <v>30</v>
      </c>
      <c r="U559" s="51" t="s">
        <v>92</v>
      </c>
      <c r="V559" s="72" t="s">
        <v>30</v>
      </c>
      <c r="W559" s="103" t="s">
        <v>131</v>
      </c>
      <c r="X559" s="72" t="s">
        <v>33</v>
      </c>
      <c r="Y559" s="51" t="str">
        <f t="shared" si="8"/>
        <v>260325_NDX550598_RUO_0157_AXXXXXXXXX</v>
      </c>
      <c r="Z559" s="51" t="s">
        <v>94</v>
      </c>
      <c r="AA559" s="51" t="s">
        <v>39</v>
      </c>
      <c r="AB559" s="26"/>
      <c r="AC559" s="26"/>
    </row>
    <row r="560" ht="10" customHeight="1" spans="1:29">
      <c r="A560" s="26"/>
      <c r="B560" s="26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71" t="s">
        <v>569</v>
      </c>
      <c r="R560" s="59"/>
      <c r="S560" s="59">
        <v>260325</v>
      </c>
      <c r="T560" s="59" t="s">
        <v>30</v>
      </c>
      <c r="U560" s="51" t="s">
        <v>95</v>
      </c>
      <c r="V560" s="72" t="s">
        <v>30</v>
      </c>
      <c r="W560" s="103" t="s">
        <v>276</v>
      </c>
      <c r="X560" s="72" t="s">
        <v>33</v>
      </c>
      <c r="Y560" s="51" t="str">
        <f t="shared" si="8"/>
        <v>260325_NDX550778_RUO_0180_AXXXXXXXXX</v>
      </c>
      <c r="Z560" s="51" t="s">
        <v>97</v>
      </c>
      <c r="AA560" s="51" t="s">
        <v>39</v>
      </c>
      <c r="AB560" s="26"/>
      <c r="AC560" s="26"/>
    </row>
    <row r="561" ht="10" customHeight="1" spans="1:29">
      <c r="A561" s="26"/>
      <c r="B561" s="26"/>
      <c r="C561" s="96" t="s">
        <v>712</v>
      </c>
      <c r="D561" s="97" t="s">
        <v>479</v>
      </c>
      <c r="E561" s="96" t="s">
        <v>491</v>
      </c>
      <c r="F561" s="97" t="s">
        <v>479</v>
      </c>
      <c r="G561" s="40" t="s">
        <v>491</v>
      </c>
      <c r="H561" s="97" t="s">
        <v>479</v>
      </c>
      <c r="I561" s="40" t="s">
        <v>482</v>
      </c>
      <c r="J561" s="97" t="s">
        <v>479</v>
      </c>
      <c r="K561" s="40" t="s">
        <v>483</v>
      </c>
      <c r="L561" s="97" t="s">
        <v>479</v>
      </c>
      <c r="M561" s="96" t="s">
        <v>713</v>
      </c>
      <c r="N561" s="97" t="s">
        <v>479</v>
      </c>
      <c r="O561" s="98" t="s">
        <v>485</v>
      </c>
      <c r="P561" s="40" t="s">
        <v>698</v>
      </c>
      <c r="Q561" s="97" t="s">
        <v>714</v>
      </c>
      <c r="R561" s="96" t="s">
        <v>708</v>
      </c>
      <c r="S561" s="96">
        <v>260325</v>
      </c>
      <c r="T561" s="59" t="s">
        <v>30</v>
      </c>
      <c r="U561" s="51" t="s">
        <v>31</v>
      </c>
      <c r="V561" s="72" t="s">
        <v>30</v>
      </c>
      <c r="W561" s="102" t="s">
        <v>715</v>
      </c>
      <c r="X561" s="72" t="s">
        <v>33</v>
      </c>
      <c r="Y561" s="51" t="str">
        <f t="shared" si="8"/>
        <v>260325_TPNB500477_0271_AXXXXXXXXX</v>
      </c>
      <c r="Z561" s="51" t="s">
        <v>34</v>
      </c>
      <c r="AA561" s="40" t="s">
        <v>35</v>
      </c>
      <c r="AB561" s="26"/>
      <c r="AC561" s="26"/>
    </row>
    <row r="562" ht="10" customHeight="1" spans="1:29">
      <c r="A562" s="26"/>
      <c r="B562" s="26"/>
      <c r="C562" s="96" t="s">
        <v>716</v>
      </c>
      <c r="D562" s="97" t="s">
        <v>490</v>
      </c>
      <c r="E562" s="96" t="s">
        <v>480</v>
      </c>
      <c r="F562" s="97" t="s">
        <v>490</v>
      </c>
      <c r="G562" s="40" t="s">
        <v>481</v>
      </c>
      <c r="H562" s="97" t="s">
        <v>490</v>
      </c>
      <c r="I562" s="40" t="s">
        <v>482</v>
      </c>
      <c r="J562" s="97" t="s">
        <v>490</v>
      </c>
      <c r="K562" s="40" t="s">
        <v>483</v>
      </c>
      <c r="L562" s="97" t="s">
        <v>490</v>
      </c>
      <c r="M562" s="96" t="s">
        <v>713</v>
      </c>
      <c r="N562" s="97" t="s">
        <v>490</v>
      </c>
      <c r="O562" s="98" t="s">
        <v>485</v>
      </c>
      <c r="P562" s="40" t="s">
        <v>702</v>
      </c>
      <c r="Q562" s="40"/>
      <c r="R562" s="96" t="s">
        <v>708</v>
      </c>
      <c r="S562" s="96">
        <v>260325</v>
      </c>
      <c r="T562" s="59" t="s">
        <v>30</v>
      </c>
      <c r="U562" s="51" t="s">
        <v>36</v>
      </c>
      <c r="V562" s="72" t="s">
        <v>30</v>
      </c>
      <c r="W562" s="102" t="s">
        <v>717</v>
      </c>
      <c r="X562" s="72" t="s">
        <v>33</v>
      </c>
      <c r="Y562" s="51" t="str">
        <f t="shared" si="8"/>
        <v>260325_NDX551406_RUO_0389_AXXXXXXXXX</v>
      </c>
      <c r="Z562" s="51" t="s">
        <v>38</v>
      </c>
      <c r="AA562" s="40" t="s">
        <v>39</v>
      </c>
      <c r="AB562" s="26"/>
      <c r="AC562" s="26"/>
    </row>
    <row r="563" ht="10" customHeight="1" spans="1:29">
      <c r="A563" s="26"/>
      <c r="B563" s="26"/>
      <c r="C563" s="59" t="s">
        <v>505</v>
      </c>
      <c r="D563" s="59" t="s">
        <v>242</v>
      </c>
      <c r="E563" s="59" t="s">
        <v>505</v>
      </c>
      <c r="F563" s="59" t="s">
        <v>242</v>
      </c>
      <c r="G563" s="59" t="s">
        <v>506</v>
      </c>
      <c r="H563" s="59" t="s">
        <v>242</v>
      </c>
      <c r="I563" s="59" t="s">
        <v>718</v>
      </c>
      <c r="J563" s="59" t="s">
        <v>508</v>
      </c>
      <c r="K563" s="59" t="s">
        <v>719</v>
      </c>
      <c r="L563" s="59" t="s">
        <v>508</v>
      </c>
      <c r="M563" s="59" t="s">
        <v>720</v>
      </c>
      <c r="N563" s="59" t="s">
        <v>508</v>
      </c>
      <c r="O563" s="69" t="s">
        <v>721</v>
      </c>
      <c r="P563" s="59" t="s">
        <v>512</v>
      </c>
      <c r="Q563" s="71" t="s">
        <v>513</v>
      </c>
      <c r="R563" s="59" t="s">
        <v>722</v>
      </c>
      <c r="S563" s="59">
        <v>260326</v>
      </c>
      <c r="T563" s="59" t="s">
        <v>30</v>
      </c>
      <c r="U563" s="26" t="s">
        <v>98</v>
      </c>
      <c r="V563" s="72" t="s">
        <v>30</v>
      </c>
      <c r="W563" s="102" t="s">
        <v>711</v>
      </c>
      <c r="X563" s="72" t="s">
        <v>33</v>
      </c>
      <c r="Y563" s="51" t="str">
        <f t="shared" si="8"/>
        <v>260326_TPNB500657_0206_AXXXXXXXXX</v>
      </c>
      <c r="Z563" s="51" t="s">
        <v>100</v>
      </c>
      <c r="AA563" s="51" t="s">
        <v>35</v>
      </c>
      <c r="AB563" s="26"/>
      <c r="AC563" s="26"/>
    </row>
    <row r="564" ht="10" customHeight="1" spans="1:29">
      <c r="A564" s="26"/>
      <c r="B564" s="26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71" t="s">
        <v>569</v>
      </c>
      <c r="R564" s="59"/>
      <c r="S564" s="59">
        <v>260326</v>
      </c>
      <c r="T564" s="59" t="s">
        <v>30</v>
      </c>
      <c r="U564" s="51" t="s">
        <v>85</v>
      </c>
      <c r="V564" s="72" t="s">
        <v>30</v>
      </c>
      <c r="W564" s="74" t="s">
        <v>332</v>
      </c>
      <c r="X564" s="72" t="s">
        <v>33</v>
      </c>
      <c r="Y564" s="51" t="str">
        <f t="shared" si="8"/>
        <v>260326_TPNB500597_0197_AXXXXXXXXX</v>
      </c>
      <c r="Z564" s="51" t="s">
        <v>87</v>
      </c>
      <c r="AA564" s="51" t="s">
        <v>35</v>
      </c>
      <c r="AB564" s="26"/>
      <c r="AC564" s="26"/>
    </row>
    <row r="565" ht="10" customHeight="1" spans="1:29">
      <c r="A565" s="26"/>
      <c r="B565" s="26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71" t="s">
        <v>569</v>
      </c>
      <c r="R565" s="59"/>
      <c r="S565" s="59">
        <v>260326</v>
      </c>
      <c r="T565" s="59" t="s">
        <v>30</v>
      </c>
      <c r="U565" s="51" t="s">
        <v>88</v>
      </c>
      <c r="V565" s="72" t="s">
        <v>30</v>
      </c>
      <c r="W565" s="40" t="s">
        <v>723</v>
      </c>
      <c r="X565" s="72" t="s">
        <v>33</v>
      </c>
      <c r="Y565" s="51" t="str">
        <f t="shared" si="8"/>
        <v>260326_TPNB500641_0207_AXXXXXXXXX</v>
      </c>
      <c r="Z565" s="51" t="s">
        <v>90</v>
      </c>
      <c r="AA565" s="51" t="s">
        <v>35</v>
      </c>
      <c r="AB565" s="26"/>
      <c r="AC565" s="26"/>
    </row>
    <row r="566" ht="10" customHeight="1" spans="1:29">
      <c r="A566" s="26"/>
      <c r="B566" s="26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71" t="s">
        <v>569</v>
      </c>
      <c r="R566" s="59"/>
      <c r="S566" s="59">
        <v>260326</v>
      </c>
      <c r="T566" s="59" t="s">
        <v>30</v>
      </c>
      <c r="U566" s="51" t="s">
        <v>36</v>
      </c>
      <c r="V566" s="72" t="s">
        <v>30</v>
      </c>
      <c r="W566" s="102" t="s">
        <v>724</v>
      </c>
      <c r="X566" s="72" t="s">
        <v>33</v>
      </c>
      <c r="Y566" s="51" t="str">
        <f t="shared" si="8"/>
        <v>260326_NDX551406_RUO_0390_AXXXXXXXXX</v>
      </c>
      <c r="Z566" s="51" t="s">
        <v>38</v>
      </c>
      <c r="AA566" s="51" t="s">
        <v>39</v>
      </c>
      <c r="AB566" s="26"/>
      <c r="AC566" s="26"/>
    </row>
    <row r="567" ht="10" customHeight="1" spans="1:29">
      <c r="A567" s="26"/>
      <c r="B567" s="26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71" t="s">
        <v>569</v>
      </c>
      <c r="R567" s="59"/>
      <c r="S567" s="59">
        <v>260326</v>
      </c>
      <c r="T567" s="59" t="s">
        <v>30</v>
      </c>
      <c r="U567" s="51" t="s">
        <v>92</v>
      </c>
      <c r="V567" s="72" t="s">
        <v>30</v>
      </c>
      <c r="W567" s="103" t="s">
        <v>409</v>
      </c>
      <c r="X567" s="72" t="s">
        <v>33</v>
      </c>
      <c r="Y567" s="51" t="str">
        <f t="shared" si="8"/>
        <v>260326_NDX550598_RUO_0158_AXXXXXXXXX</v>
      </c>
      <c r="Z567" s="51" t="s">
        <v>94</v>
      </c>
      <c r="AA567" s="51" t="s">
        <v>39</v>
      </c>
      <c r="AB567" s="26"/>
      <c r="AC567" s="26"/>
    </row>
    <row r="568" ht="10" customHeight="1" spans="1:29">
      <c r="A568" s="26"/>
      <c r="B568" s="26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71" t="s">
        <v>569</v>
      </c>
      <c r="R568" s="59"/>
      <c r="S568" s="59">
        <v>260326</v>
      </c>
      <c r="T568" s="59" t="s">
        <v>30</v>
      </c>
      <c r="U568" s="51" t="s">
        <v>95</v>
      </c>
      <c r="V568" s="72" t="s">
        <v>30</v>
      </c>
      <c r="W568" s="103" t="s">
        <v>282</v>
      </c>
      <c r="X568" s="72" t="s">
        <v>33</v>
      </c>
      <c r="Y568" s="51" t="str">
        <f t="shared" si="8"/>
        <v>260326_NDX550778_RUO_0181_AXXXXXXXXX</v>
      </c>
      <c r="Z568" s="51" t="s">
        <v>97</v>
      </c>
      <c r="AA568" s="51" t="s">
        <v>39</v>
      </c>
      <c r="AB568" s="26"/>
      <c r="AC568" s="26"/>
    </row>
    <row r="569" ht="10" customHeight="1" spans="1:29">
      <c r="A569" s="26"/>
      <c r="B569" s="26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71" t="s">
        <v>569</v>
      </c>
      <c r="R569" s="59"/>
      <c r="S569" s="59">
        <v>260326</v>
      </c>
      <c r="T569" s="59" t="s">
        <v>30</v>
      </c>
      <c r="U569" s="51" t="s">
        <v>85</v>
      </c>
      <c r="V569" s="72" t="s">
        <v>30</v>
      </c>
      <c r="W569" s="74" t="s">
        <v>336</v>
      </c>
      <c r="X569" s="72" t="s">
        <v>33</v>
      </c>
      <c r="Y569" s="51" t="str">
        <f t="shared" si="8"/>
        <v>260326_TPNB500597_0198_AXXXXXXXXX</v>
      </c>
      <c r="Z569" s="51" t="s">
        <v>87</v>
      </c>
      <c r="AA569" s="51" t="s">
        <v>35</v>
      </c>
      <c r="AB569" s="26"/>
      <c r="AC569" s="26"/>
    </row>
    <row r="570" ht="10" customHeight="1" spans="1:29">
      <c r="A570" s="26"/>
      <c r="B570" s="26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71" t="s">
        <v>569</v>
      </c>
      <c r="R570" s="59"/>
      <c r="S570" s="59">
        <v>260326</v>
      </c>
      <c r="T570" s="59" t="s">
        <v>30</v>
      </c>
      <c r="U570" s="51" t="s">
        <v>88</v>
      </c>
      <c r="V570" s="72" t="s">
        <v>30</v>
      </c>
      <c r="W570" s="40" t="s">
        <v>725</v>
      </c>
      <c r="X570" s="72" t="s">
        <v>33</v>
      </c>
      <c r="Y570" s="51" t="str">
        <f t="shared" si="8"/>
        <v>260326_TPNB500641_0208_AXXXXXXXXX</v>
      </c>
      <c r="Z570" s="51" t="s">
        <v>90</v>
      </c>
      <c r="AA570" s="51" t="s">
        <v>35</v>
      </c>
      <c r="AB570" s="26"/>
      <c r="AC570" s="26"/>
    </row>
    <row r="571" ht="10" customHeight="1" spans="1:29">
      <c r="A571" s="26"/>
      <c r="B571" s="26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71" t="s">
        <v>569</v>
      </c>
      <c r="R571" s="59"/>
      <c r="S571" s="59">
        <v>260326</v>
      </c>
      <c r="T571" s="59" t="s">
        <v>30</v>
      </c>
      <c r="U571" s="51" t="s">
        <v>92</v>
      </c>
      <c r="V571" s="72" t="s">
        <v>30</v>
      </c>
      <c r="W571" s="103" t="s">
        <v>146</v>
      </c>
      <c r="X571" s="72" t="s">
        <v>33</v>
      </c>
      <c r="Y571" s="51" t="str">
        <f t="shared" si="8"/>
        <v>260326_NDX550598_RUO_0159_AXXXXXXXXX</v>
      </c>
      <c r="Z571" s="51" t="s">
        <v>94</v>
      </c>
      <c r="AA571" s="51" t="s">
        <v>39</v>
      </c>
      <c r="AB571" s="26"/>
      <c r="AC571" s="26"/>
    </row>
    <row r="572" ht="10" customHeight="1" spans="1:29">
      <c r="A572" s="26"/>
      <c r="B572" s="26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71" t="s">
        <v>569</v>
      </c>
      <c r="R572" s="59"/>
      <c r="S572" s="59">
        <v>260326</v>
      </c>
      <c r="T572" s="59" t="s">
        <v>30</v>
      </c>
      <c r="U572" s="51" t="s">
        <v>95</v>
      </c>
      <c r="V572" s="72" t="s">
        <v>30</v>
      </c>
      <c r="W572" s="103" t="s">
        <v>283</v>
      </c>
      <c r="X572" s="72" t="s">
        <v>33</v>
      </c>
      <c r="Y572" s="51" t="str">
        <f t="shared" si="8"/>
        <v>260326_NDX550778_RUO_0182_AXXXXXXXXX</v>
      </c>
      <c r="Z572" s="51" t="s">
        <v>97</v>
      </c>
      <c r="AA572" s="51" t="s">
        <v>39</v>
      </c>
      <c r="AB572" s="26"/>
      <c r="AC572" s="26"/>
    </row>
    <row r="573" ht="10" customHeight="1" spans="1:29">
      <c r="A573" s="26"/>
      <c r="B573" s="26"/>
      <c r="C573" s="96" t="s">
        <v>726</v>
      </c>
      <c r="D573" s="97" t="s">
        <v>479</v>
      </c>
      <c r="E573" s="96" t="s">
        <v>491</v>
      </c>
      <c r="F573" s="97" t="s">
        <v>479</v>
      </c>
      <c r="G573" s="40" t="s">
        <v>491</v>
      </c>
      <c r="H573" s="97" t="s">
        <v>479</v>
      </c>
      <c r="I573" s="40" t="s">
        <v>482</v>
      </c>
      <c r="J573" s="97" t="s">
        <v>479</v>
      </c>
      <c r="K573" s="40" t="s">
        <v>483</v>
      </c>
      <c r="L573" s="97" t="s">
        <v>479</v>
      </c>
      <c r="M573" s="96" t="s">
        <v>727</v>
      </c>
      <c r="N573" s="97" t="s">
        <v>479</v>
      </c>
      <c r="O573" s="98" t="s">
        <v>485</v>
      </c>
      <c r="P573" s="40" t="s">
        <v>682</v>
      </c>
      <c r="Q573" s="97" t="s">
        <v>728</v>
      </c>
      <c r="R573" s="96" t="s">
        <v>722</v>
      </c>
      <c r="S573" s="96">
        <v>260326</v>
      </c>
      <c r="T573" s="59" t="s">
        <v>30</v>
      </c>
      <c r="U573" s="51" t="s">
        <v>36</v>
      </c>
      <c r="V573" s="72" t="s">
        <v>30</v>
      </c>
      <c r="W573" s="102" t="s">
        <v>729</v>
      </c>
      <c r="X573" s="72" t="s">
        <v>33</v>
      </c>
      <c r="Y573" s="51" t="str">
        <f t="shared" si="8"/>
        <v>260326_NDX551406_RUO_0391_AXXXXXXXXX</v>
      </c>
      <c r="Z573" s="51" t="s">
        <v>38</v>
      </c>
      <c r="AA573" s="40" t="s">
        <v>39</v>
      </c>
      <c r="AB573" s="26"/>
      <c r="AC573" s="26"/>
    </row>
    <row r="574" ht="10" customHeight="1" spans="1:29">
      <c r="A574" s="26"/>
      <c r="B574" s="26"/>
      <c r="C574" s="96" t="s">
        <v>730</v>
      </c>
      <c r="D574" s="97" t="s">
        <v>490</v>
      </c>
      <c r="E574" s="96" t="s">
        <v>480</v>
      </c>
      <c r="F574" s="97" t="s">
        <v>490</v>
      </c>
      <c r="G574" s="40" t="s">
        <v>481</v>
      </c>
      <c r="H574" s="97" t="s">
        <v>490</v>
      </c>
      <c r="I574" s="40" t="s">
        <v>482</v>
      </c>
      <c r="J574" s="97" t="s">
        <v>490</v>
      </c>
      <c r="K574" s="40" t="s">
        <v>483</v>
      </c>
      <c r="L574" s="97" t="s">
        <v>490</v>
      </c>
      <c r="M574" s="96" t="s">
        <v>727</v>
      </c>
      <c r="N574" s="97" t="s">
        <v>490</v>
      </c>
      <c r="O574" s="98" t="s">
        <v>485</v>
      </c>
      <c r="P574" s="40" t="s">
        <v>686</v>
      </c>
      <c r="Q574" s="40"/>
      <c r="R574" s="96" t="s">
        <v>722</v>
      </c>
      <c r="S574" s="96">
        <v>260326</v>
      </c>
      <c r="T574" s="59" t="s">
        <v>30</v>
      </c>
      <c r="U574" s="51" t="s">
        <v>31</v>
      </c>
      <c r="V574" s="72" t="s">
        <v>30</v>
      </c>
      <c r="W574" s="102" t="s">
        <v>731</v>
      </c>
      <c r="X574" s="72" t="s">
        <v>33</v>
      </c>
      <c r="Y574" s="51" t="str">
        <f t="shared" si="8"/>
        <v>260326_TPNB500477_0273_AXXXXXXXXX</v>
      </c>
      <c r="Z574" s="51" t="s">
        <v>34</v>
      </c>
      <c r="AA574" s="40" t="s">
        <v>35</v>
      </c>
      <c r="AB574" s="26"/>
      <c r="AC574" s="26"/>
    </row>
    <row r="575" ht="10" customHeight="1" spans="1:29">
      <c r="A575" s="26"/>
      <c r="B575" s="26"/>
      <c r="C575" s="59" t="s">
        <v>505</v>
      </c>
      <c r="D575" s="59" t="s">
        <v>242</v>
      </c>
      <c r="E575" s="59" t="s">
        <v>505</v>
      </c>
      <c r="F575" s="59" t="s">
        <v>242</v>
      </c>
      <c r="G575" s="59" t="s">
        <v>506</v>
      </c>
      <c r="H575" s="59" t="s">
        <v>242</v>
      </c>
      <c r="I575" s="59" t="s">
        <v>732</v>
      </c>
      <c r="J575" s="59" t="s">
        <v>508</v>
      </c>
      <c r="K575" s="59" t="s">
        <v>733</v>
      </c>
      <c r="L575" s="59" t="s">
        <v>508</v>
      </c>
      <c r="M575" s="59" t="s">
        <v>734</v>
      </c>
      <c r="N575" s="59" t="s">
        <v>508</v>
      </c>
      <c r="O575" s="69" t="s">
        <v>735</v>
      </c>
      <c r="P575" s="59" t="s">
        <v>512</v>
      </c>
      <c r="Q575" s="71" t="s">
        <v>513</v>
      </c>
      <c r="R575" s="59" t="s">
        <v>736</v>
      </c>
      <c r="S575" s="59">
        <v>260327</v>
      </c>
      <c r="T575" s="59" t="s">
        <v>30</v>
      </c>
      <c r="U575" s="26" t="s">
        <v>98</v>
      </c>
      <c r="V575" s="72" t="s">
        <v>30</v>
      </c>
      <c r="W575" s="102" t="s">
        <v>725</v>
      </c>
      <c r="X575" s="72" t="s">
        <v>33</v>
      </c>
      <c r="Y575" s="51" t="str">
        <f t="shared" si="8"/>
        <v>260327_TPNB500657_0208_AXXXXXXXXX</v>
      </c>
      <c r="Z575" s="51" t="s">
        <v>100</v>
      </c>
      <c r="AA575" s="51" t="s">
        <v>35</v>
      </c>
      <c r="AB575" s="26"/>
      <c r="AC575" s="26"/>
    </row>
    <row r="576" ht="10" customHeight="1" spans="1:29">
      <c r="A576" s="26"/>
      <c r="B576" s="26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71" t="s">
        <v>569</v>
      </c>
      <c r="R576" s="59"/>
      <c r="S576" s="59">
        <v>260327</v>
      </c>
      <c r="T576" s="59" t="s">
        <v>30</v>
      </c>
      <c r="U576" s="51" t="s">
        <v>85</v>
      </c>
      <c r="V576" s="72" t="s">
        <v>30</v>
      </c>
      <c r="W576" s="74" t="s">
        <v>345</v>
      </c>
      <c r="X576" s="72" t="s">
        <v>33</v>
      </c>
      <c r="Y576" s="51" t="str">
        <f t="shared" si="8"/>
        <v>260327_TPNB500597_0199_AXXXXXXXXX</v>
      </c>
      <c r="Z576" s="51" t="s">
        <v>87</v>
      </c>
      <c r="AA576" s="51" t="s">
        <v>35</v>
      </c>
      <c r="AB576" s="26"/>
      <c r="AC576" s="26"/>
    </row>
    <row r="577" ht="10" customHeight="1" spans="1:29">
      <c r="A577" s="26"/>
      <c r="B577" s="26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71" t="s">
        <v>569</v>
      </c>
      <c r="R577" s="59"/>
      <c r="S577" s="59">
        <v>260327</v>
      </c>
      <c r="T577" s="59" t="s">
        <v>30</v>
      </c>
      <c r="U577" s="51" t="s">
        <v>88</v>
      </c>
      <c r="V577" s="72" t="s">
        <v>30</v>
      </c>
      <c r="W577" s="40" t="s">
        <v>737</v>
      </c>
      <c r="X577" s="72" t="s">
        <v>33</v>
      </c>
      <c r="Y577" s="51" t="str">
        <f t="shared" si="8"/>
        <v>260327_TPNB500641_0209_AXXXXXXXXX</v>
      </c>
      <c r="Z577" s="51" t="s">
        <v>90</v>
      </c>
      <c r="AA577" s="51" t="s">
        <v>35</v>
      </c>
      <c r="AB577" s="26"/>
      <c r="AC577" s="26"/>
    </row>
    <row r="578" ht="10" customHeight="1" spans="1:29">
      <c r="A578" s="26"/>
      <c r="B578" s="26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71" t="s">
        <v>569</v>
      </c>
      <c r="R578" s="59"/>
      <c r="S578" s="59">
        <v>260327</v>
      </c>
      <c r="T578" s="59" t="s">
        <v>30</v>
      </c>
      <c r="U578" s="51" t="s">
        <v>36</v>
      </c>
      <c r="V578" s="72" t="s">
        <v>30</v>
      </c>
      <c r="W578" s="102" t="s">
        <v>738</v>
      </c>
      <c r="X578" s="72" t="s">
        <v>33</v>
      </c>
      <c r="Y578" s="51" t="str">
        <f t="shared" ref="Y578:Y609" si="9">S578&amp;T578&amp;U578&amp;V578&amp;W578&amp;X578</f>
        <v>260327_NDX551406_RUO_0392_AXXXXXXXXX</v>
      </c>
      <c r="Z578" s="51" t="s">
        <v>38</v>
      </c>
      <c r="AA578" s="51" t="s">
        <v>39</v>
      </c>
      <c r="AB578" s="26"/>
      <c r="AC578" s="26"/>
    </row>
    <row r="579" ht="10" customHeight="1" spans="1:29">
      <c r="A579" s="26"/>
      <c r="B579" s="26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71" t="s">
        <v>569</v>
      </c>
      <c r="R579" s="59"/>
      <c r="S579" s="59">
        <v>260327</v>
      </c>
      <c r="T579" s="59" t="s">
        <v>30</v>
      </c>
      <c r="U579" s="51" t="s">
        <v>92</v>
      </c>
      <c r="V579" s="72" t="s">
        <v>30</v>
      </c>
      <c r="W579" s="103" t="s">
        <v>418</v>
      </c>
      <c r="X579" s="72" t="s">
        <v>33</v>
      </c>
      <c r="Y579" s="51" t="str">
        <f t="shared" si="9"/>
        <v>260327_NDX550598_RUO_0160_AXXXXXXXXX</v>
      </c>
      <c r="Z579" s="51" t="s">
        <v>94</v>
      </c>
      <c r="AA579" s="51" t="s">
        <v>39</v>
      </c>
      <c r="AB579" s="26"/>
      <c r="AC579" s="26"/>
    </row>
    <row r="580" ht="10" customHeight="1" spans="1:29">
      <c r="A580" s="26"/>
      <c r="B580" s="26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71" t="s">
        <v>569</v>
      </c>
      <c r="R580" s="59"/>
      <c r="S580" s="59">
        <v>260327</v>
      </c>
      <c r="T580" s="59" t="s">
        <v>30</v>
      </c>
      <c r="U580" s="51" t="s">
        <v>95</v>
      </c>
      <c r="V580" s="72" t="s">
        <v>30</v>
      </c>
      <c r="W580" s="103" t="s">
        <v>289</v>
      </c>
      <c r="X580" s="72" t="s">
        <v>33</v>
      </c>
      <c r="Y580" s="51" t="str">
        <f t="shared" si="9"/>
        <v>260327_NDX550778_RUO_0183_AXXXXXXXXX</v>
      </c>
      <c r="Z580" s="51" t="s">
        <v>97</v>
      </c>
      <c r="AA580" s="51" t="s">
        <v>39</v>
      </c>
      <c r="AB580" s="26"/>
      <c r="AC580" s="26"/>
    </row>
    <row r="581" ht="10" customHeight="1" spans="1:29">
      <c r="A581" s="26"/>
      <c r="B581" s="26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71" t="s">
        <v>569</v>
      </c>
      <c r="R581" s="59"/>
      <c r="S581" s="59">
        <v>260327</v>
      </c>
      <c r="T581" s="59" t="s">
        <v>30</v>
      </c>
      <c r="U581" s="51" t="s">
        <v>85</v>
      </c>
      <c r="V581" s="72" t="s">
        <v>30</v>
      </c>
      <c r="W581" s="74" t="s">
        <v>349</v>
      </c>
      <c r="X581" s="72" t="s">
        <v>33</v>
      </c>
      <c r="Y581" s="51" t="str">
        <f t="shared" si="9"/>
        <v>260327_TPNB500597_0200_AXXXXXXXXX</v>
      </c>
      <c r="Z581" s="51" t="s">
        <v>87</v>
      </c>
      <c r="AA581" s="51" t="s">
        <v>35</v>
      </c>
      <c r="AB581" s="26"/>
      <c r="AC581" s="26"/>
    </row>
    <row r="582" ht="10" customHeight="1" spans="1:29">
      <c r="A582" s="26"/>
      <c r="B582" s="26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71" t="s">
        <v>569</v>
      </c>
      <c r="R582" s="59"/>
      <c r="S582" s="59">
        <v>260327</v>
      </c>
      <c r="T582" s="59" t="s">
        <v>30</v>
      </c>
      <c r="U582" s="51" t="s">
        <v>88</v>
      </c>
      <c r="V582" s="72" t="s">
        <v>30</v>
      </c>
      <c r="W582" s="40" t="s">
        <v>739</v>
      </c>
      <c r="X582" s="72" t="s">
        <v>33</v>
      </c>
      <c r="Y582" s="51" t="str">
        <f t="shared" si="9"/>
        <v>260327_TPNB500641_0210_AXXXXXXXXX</v>
      </c>
      <c r="Z582" s="51" t="s">
        <v>90</v>
      </c>
      <c r="AA582" s="51" t="s">
        <v>35</v>
      </c>
      <c r="AB582" s="26"/>
      <c r="AC582" s="26"/>
    </row>
    <row r="583" ht="10" customHeight="1" spans="1:29">
      <c r="A583" s="26"/>
      <c r="B583" s="26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71" t="s">
        <v>569</v>
      </c>
      <c r="R583" s="59"/>
      <c r="S583" s="59">
        <v>260327</v>
      </c>
      <c r="T583" s="59" t="s">
        <v>30</v>
      </c>
      <c r="U583" s="51" t="s">
        <v>92</v>
      </c>
      <c r="V583" s="72" t="s">
        <v>30</v>
      </c>
      <c r="W583" s="103" t="s">
        <v>161</v>
      </c>
      <c r="X583" s="72" t="s">
        <v>33</v>
      </c>
      <c r="Y583" s="51" t="str">
        <f t="shared" si="9"/>
        <v>260327_NDX550598_RUO_0161_AXXXXXXXXX</v>
      </c>
      <c r="Z583" s="51" t="s">
        <v>94</v>
      </c>
      <c r="AA583" s="51" t="s">
        <v>39</v>
      </c>
      <c r="AB583" s="26"/>
      <c r="AC583" s="26"/>
    </row>
    <row r="584" ht="10" customHeight="1" spans="1:29">
      <c r="A584" s="26"/>
      <c r="B584" s="26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71" t="s">
        <v>569</v>
      </c>
      <c r="R584" s="59"/>
      <c r="S584" s="59">
        <v>260327</v>
      </c>
      <c r="T584" s="59" t="s">
        <v>30</v>
      </c>
      <c r="U584" s="51" t="s">
        <v>95</v>
      </c>
      <c r="V584" s="72" t="s">
        <v>30</v>
      </c>
      <c r="W584" s="103" t="s">
        <v>290</v>
      </c>
      <c r="X584" s="72" t="s">
        <v>33</v>
      </c>
      <c r="Y584" s="51" t="str">
        <f t="shared" si="9"/>
        <v>260327_NDX550778_RUO_0184_AXXXXXXXXX</v>
      </c>
      <c r="Z584" s="51" t="s">
        <v>97</v>
      </c>
      <c r="AA584" s="51" t="s">
        <v>39</v>
      </c>
      <c r="AB584" s="26"/>
      <c r="AC584" s="26"/>
    </row>
    <row r="585" ht="10" customHeight="1" spans="1:29">
      <c r="A585" s="26"/>
      <c r="B585" s="26"/>
      <c r="C585" s="96" t="s">
        <v>740</v>
      </c>
      <c r="D585" s="97" t="s">
        <v>479</v>
      </c>
      <c r="E585" s="96" t="s">
        <v>491</v>
      </c>
      <c r="F585" s="97" t="s">
        <v>479</v>
      </c>
      <c r="G585" s="40" t="s">
        <v>491</v>
      </c>
      <c r="H585" s="97" t="s">
        <v>479</v>
      </c>
      <c r="I585" s="40" t="s">
        <v>482</v>
      </c>
      <c r="J585" s="97" t="s">
        <v>479</v>
      </c>
      <c r="K585" s="40" t="s">
        <v>483</v>
      </c>
      <c r="L585" s="97" t="s">
        <v>479</v>
      </c>
      <c r="M585" s="96" t="s">
        <v>741</v>
      </c>
      <c r="N585" s="97" t="s">
        <v>479</v>
      </c>
      <c r="O585" s="98" t="s">
        <v>485</v>
      </c>
      <c r="P585" s="40" t="s">
        <v>682</v>
      </c>
      <c r="Q585" s="97" t="s">
        <v>742</v>
      </c>
      <c r="R585" s="96" t="s">
        <v>736</v>
      </c>
      <c r="S585" s="96">
        <v>260327</v>
      </c>
      <c r="T585" s="59" t="s">
        <v>30</v>
      </c>
      <c r="U585" s="51" t="s">
        <v>36</v>
      </c>
      <c r="V585" s="72" t="s">
        <v>30</v>
      </c>
      <c r="W585" s="102" t="s">
        <v>743</v>
      </c>
      <c r="X585" s="72" t="s">
        <v>33</v>
      </c>
      <c r="Y585" s="51" t="str">
        <f t="shared" si="9"/>
        <v>260327_NDX551406_RUO_0393_AXXXXXXXXX</v>
      </c>
      <c r="Z585" s="51" t="s">
        <v>38</v>
      </c>
      <c r="AA585" s="40" t="s">
        <v>39</v>
      </c>
      <c r="AB585" s="26"/>
      <c r="AC585" s="26"/>
    </row>
    <row r="586" ht="10" customHeight="1" spans="1:29">
      <c r="A586" s="26"/>
      <c r="B586" s="26"/>
      <c r="C586" s="96" t="s">
        <v>744</v>
      </c>
      <c r="D586" s="97" t="s">
        <v>490</v>
      </c>
      <c r="E586" s="96" t="s">
        <v>480</v>
      </c>
      <c r="F586" s="97" t="s">
        <v>490</v>
      </c>
      <c r="G586" s="40" t="s">
        <v>481</v>
      </c>
      <c r="H586" s="97" t="s">
        <v>490</v>
      </c>
      <c r="I586" s="40" t="s">
        <v>482</v>
      </c>
      <c r="J586" s="97" t="s">
        <v>490</v>
      </c>
      <c r="K586" s="40" t="s">
        <v>483</v>
      </c>
      <c r="L586" s="97" t="s">
        <v>490</v>
      </c>
      <c r="M586" s="96" t="s">
        <v>741</v>
      </c>
      <c r="N586" s="97" t="s">
        <v>490</v>
      </c>
      <c r="O586" s="98" t="s">
        <v>485</v>
      </c>
      <c r="P586" s="40" t="s">
        <v>686</v>
      </c>
      <c r="Q586" s="40"/>
      <c r="R586" s="96" t="s">
        <v>736</v>
      </c>
      <c r="S586" s="96">
        <v>260327</v>
      </c>
      <c r="T586" s="59" t="s">
        <v>30</v>
      </c>
      <c r="U586" s="51" t="s">
        <v>31</v>
      </c>
      <c r="V586" s="72" t="s">
        <v>30</v>
      </c>
      <c r="W586" s="102" t="s">
        <v>745</v>
      </c>
      <c r="X586" s="72" t="s">
        <v>33</v>
      </c>
      <c r="Y586" s="51" t="str">
        <f t="shared" si="9"/>
        <v>260327_TPNB500477_0275_AXXXXXXXXX</v>
      </c>
      <c r="Z586" s="51" t="s">
        <v>34</v>
      </c>
      <c r="AA586" s="40" t="s">
        <v>35</v>
      </c>
      <c r="AB586" s="26"/>
      <c r="AC586" s="26"/>
    </row>
    <row r="587" ht="10" customHeight="1" spans="1:29">
      <c r="A587" s="26"/>
      <c r="B587" s="26"/>
      <c r="C587" s="59" t="s">
        <v>505</v>
      </c>
      <c r="D587" s="59" t="s">
        <v>242</v>
      </c>
      <c r="E587" s="59" t="s">
        <v>505</v>
      </c>
      <c r="F587" s="59" t="s">
        <v>242</v>
      </c>
      <c r="G587" s="59" t="s">
        <v>506</v>
      </c>
      <c r="H587" s="59" t="s">
        <v>242</v>
      </c>
      <c r="I587" s="59" t="s">
        <v>746</v>
      </c>
      <c r="J587" s="59" t="s">
        <v>508</v>
      </c>
      <c r="K587" s="59" t="s">
        <v>747</v>
      </c>
      <c r="L587" s="59" t="s">
        <v>508</v>
      </c>
      <c r="M587" s="59" t="s">
        <v>748</v>
      </c>
      <c r="N587" s="59" t="s">
        <v>508</v>
      </c>
      <c r="O587" s="69" t="s">
        <v>749</v>
      </c>
      <c r="P587" s="59" t="s">
        <v>512</v>
      </c>
      <c r="Q587" s="71" t="s">
        <v>513</v>
      </c>
      <c r="R587" s="59" t="s">
        <v>750</v>
      </c>
      <c r="S587" s="59">
        <v>260328</v>
      </c>
      <c r="T587" s="59" t="s">
        <v>30</v>
      </c>
      <c r="U587" s="51" t="s">
        <v>31</v>
      </c>
      <c r="V587" s="72" t="s">
        <v>30</v>
      </c>
      <c r="W587" s="105" t="s">
        <v>751</v>
      </c>
      <c r="X587" s="72" t="s">
        <v>33</v>
      </c>
      <c r="Y587" s="51" t="str">
        <f t="shared" si="9"/>
        <v>260328_TPNB500477_0276_AXXXXXXXXX</v>
      </c>
      <c r="Z587" s="51" t="s">
        <v>34</v>
      </c>
      <c r="AA587" s="51" t="s">
        <v>35</v>
      </c>
      <c r="AB587" s="26"/>
      <c r="AC587" s="26"/>
    </row>
    <row r="588" ht="10" customHeight="1" spans="1:29">
      <c r="A588" s="26"/>
      <c r="B588" s="26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62"/>
      <c r="R588" s="59"/>
      <c r="S588" s="59">
        <v>260328</v>
      </c>
      <c r="T588" s="59" t="s">
        <v>30</v>
      </c>
      <c r="U588" s="51" t="s">
        <v>85</v>
      </c>
      <c r="V588" s="72" t="s">
        <v>30</v>
      </c>
      <c r="W588" s="74" t="s">
        <v>358</v>
      </c>
      <c r="X588" s="72" t="s">
        <v>33</v>
      </c>
      <c r="Y588" s="51" t="str">
        <f t="shared" si="9"/>
        <v>260328_TPNB500597_0201_AXXXXXXXXX</v>
      </c>
      <c r="Z588" s="51" t="s">
        <v>87</v>
      </c>
      <c r="AA588" s="51" t="s">
        <v>35</v>
      </c>
      <c r="AB588" s="26"/>
      <c r="AC588" s="26"/>
    </row>
    <row r="589" ht="10" customHeight="1" spans="1:29">
      <c r="A589" s="26"/>
      <c r="B589" s="26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62"/>
      <c r="R589" s="59"/>
      <c r="S589" s="59">
        <v>260328</v>
      </c>
      <c r="T589" s="59" t="s">
        <v>30</v>
      </c>
      <c r="U589" s="51" t="s">
        <v>88</v>
      </c>
      <c r="V589" s="72" t="s">
        <v>30</v>
      </c>
      <c r="W589" s="40" t="s">
        <v>752</v>
      </c>
      <c r="X589" s="72" t="s">
        <v>33</v>
      </c>
      <c r="Y589" s="51" t="str">
        <f t="shared" si="9"/>
        <v>260328_TPNB500641_0211_AXXXXXXXXX</v>
      </c>
      <c r="Z589" s="51" t="s">
        <v>90</v>
      </c>
      <c r="AA589" s="51" t="s">
        <v>35</v>
      </c>
      <c r="AB589" s="26"/>
      <c r="AC589" s="26"/>
    </row>
    <row r="590" ht="10" customHeight="1" spans="1:29">
      <c r="A590" s="26"/>
      <c r="B590" s="26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62"/>
      <c r="R590" s="59"/>
      <c r="S590" s="59">
        <v>260328</v>
      </c>
      <c r="T590" s="59" t="s">
        <v>30</v>
      </c>
      <c r="U590" s="51" t="s">
        <v>36</v>
      </c>
      <c r="V590" s="72" t="s">
        <v>30</v>
      </c>
      <c r="W590" s="105" t="s">
        <v>753</v>
      </c>
      <c r="X590" s="72" t="s">
        <v>33</v>
      </c>
      <c r="Y590" s="51" t="str">
        <f t="shared" si="9"/>
        <v>260328_NDX551406_RUO_0394_AXXXXXXXXX</v>
      </c>
      <c r="Z590" s="51" t="s">
        <v>38</v>
      </c>
      <c r="AA590" s="51" t="s">
        <v>39</v>
      </c>
      <c r="AB590" s="26"/>
      <c r="AC590" s="26"/>
    </row>
    <row r="591" ht="10" customHeight="1" spans="1:29">
      <c r="A591" s="26"/>
      <c r="B591" s="26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62"/>
      <c r="R591" s="59"/>
      <c r="S591" s="59">
        <v>260328</v>
      </c>
      <c r="T591" s="59" t="s">
        <v>30</v>
      </c>
      <c r="U591" s="51" t="s">
        <v>92</v>
      </c>
      <c r="V591" s="72" t="s">
        <v>30</v>
      </c>
      <c r="W591" s="103" t="s">
        <v>428</v>
      </c>
      <c r="X591" s="72" t="s">
        <v>33</v>
      </c>
      <c r="Y591" s="51" t="str">
        <f t="shared" si="9"/>
        <v>260328_NDX550598_RUO_0162_AXXXXXXXXX</v>
      </c>
      <c r="Z591" s="51" t="s">
        <v>94</v>
      </c>
      <c r="AA591" s="51" t="s">
        <v>39</v>
      </c>
      <c r="AB591" s="26"/>
      <c r="AC591" s="26"/>
    </row>
    <row r="592" ht="10" customHeight="1" spans="1:29">
      <c r="A592" s="26"/>
      <c r="B592" s="26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62"/>
      <c r="R592" s="59"/>
      <c r="S592" s="59">
        <v>260328</v>
      </c>
      <c r="T592" s="59" t="s">
        <v>30</v>
      </c>
      <c r="U592" s="51" t="s">
        <v>95</v>
      </c>
      <c r="V592" s="72" t="s">
        <v>30</v>
      </c>
      <c r="W592" s="103" t="s">
        <v>296</v>
      </c>
      <c r="X592" s="72" t="s">
        <v>33</v>
      </c>
      <c r="Y592" s="51" t="str">
        <f t="shared" si="9"/>
        <v>260328_NDX550778_RUO_0185_AXXXXXXXXX</v>
      </c>
      <c r="Z592" s="51" t="s">
        <v>97</v>
      </c>
      <c r="AA592" s="51" t="s">
        <v>39</v>
      </c>
      <c r="AB592" s="26"/>
      <c r="AC592" s="26"/>
    </row>
    <row r="593" ht="10" customHeight="1" spans="1:29">
      <c r="A593" s="26"/>
      <c r="B593" s="26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62"/>
      <c r="R593" s="59"/>
      <c r="S593" s="59">
        <v>260328</v>
      </c>
      <c r="T593" s="59" t="s">
        <v>30</v>
      </c>
      <c r="U593" s="51" t="s">
        <v>85</v>
      </c>
      <c r="V593" s="72" t="s">
        <v>30</v>
      </c>
      <c r="W593" s="74" t="s">
        <v>361</v>
      </c>
      <c r="X593" s="72" t="s">
        <v>33</v>
      </c>
      <c r="Y593" s="51" t="str">
        <f t="shared" si="9"/>
        <v>260328_TPNB500597_0202_AXXXXXXXXX</v>
      </c>
      <c r="Z593" s="51" t="s">
        <v>87</v>
      </c>
      <c r="AA593" s="51" t="s">
        <v>35</v>
      </c>
      <c r="AB593" s="26"/>
      <c r="AC593" s="26"/>
    </row>
    <row r="594" ht="10" customHeight="1" spans="1:29">
      <c r="A594" s="26"/>
      <c r="B594" s="26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62"/>
      <c r="R594" s="59"/>
      <c r="S594" s="59">
        <v>260328</v>
      </c>
      <c r="T594" s="59" t="s">
        <v>30</v>
      </c>
      <c r="U594" s="51" t="s">
        <v>88</v>
      </c>
      <c r="V594" s="72" t="s">
        <v>30</v>
      </c>
      <c r="W594" s="40" t="s">
        <v>754</v>
      </c>
      <c r="X594" s="72" t="s">
        <v>33</v>
      </c>
      <c r="Y594" s="51" t="str">
        <f t="shared" si="9"/>
        <v>260328_TPNB500641_0212_AXXXXXXXXX</v>
      </c>
      <c r="Z594" s="51" t="s">
        <v>90</v>
      </c>
      <c r="AA594" s="51" t="s">
        <v>35</v>
      </c>
      <c r="AB594" s="26"/>
      <c r="AC594" s="26"/>
    </row>
    <row r="595" ht="10" customHeight="1" spans="1:29">
      <c r="A595" s="26"/>
      <c r="B595" s="26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62"/>
      <c r="R595" s="59"/>
      <c r="S595" s="59">
        <v>260328</v>
      </c>
      <c r="T595" s="59" t="s">
        <v>30</v>
      </c>
      <c r="U595" s="51" t="s">
        <v>92</v>
      </c>
      <c r="V595" s="72" t="s">
        <v>30</v>
      </c>
      <c r="W595" s="103" t="s">
        <v>173</v>
      </c>
      <c r="X595" s="72" t="s">
        <v>33</v>
      </c>
      <c r="Y595" s="51" t="str">
        <f t="shared" si="9"/>
        <v>260328_NDX550598_RUO_0163_AXXXXXXXXX</v>
      </c>
      <c r="Z595" s="51" t="s">
        <v>94</v>
      </c>
      <c r="AA595" s="51" t="s">
        <v>39</v>
      </c>
      <c r="AB595" s="26"/>
      <c r="AC595" s="26"/>
    </row>
    <row r="596" ht="10" customHeight="1" spans="1:29">
      <c r="A596" s="26"/>
      <c r="B596" s="26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62"/>
      <c r="R596" s="59"/>
      <c r="S596" s="59">
        <v>260328</v>
      </c>
      <c r="T596" s="59" t="s">
        <v>30</v>
      </c>
      <c r="U596" s="51" t="s">
        <v>95</v>
      </c>
      <c r="V596" s="72" t="s">
        <v>30</v>
      </c>
      <c r="W596" s="103" t="s">
        <v>583</v>
      </c>
      <c r="X596" s="72" t="s">
        <v>33</v>
      </c>
      <c r="Y596" s="51" t="str">
        <f t="shared" si="9"/>
        <v>260328_NDX550778_RUO_0186_AXXXXXXXXX</v>
      </c>
      <c r="Z596" s="51" t="s">
        <v>97</v>
      </c>
      <c r="AA596" s="51" t="s">
        <v>39</v>
      </c>
      <c r="AB596" s="26"/>
      <c r="AC596" s="26"/>
    </row>
    <row r="597" ht="10" customHeight="1" spans="1:29">
      <c r="A597" s="26"/>
      <c r="B597" s="26"/>
      <c r="C597" s="59" t="s">
        <v>505</v>
      </c>
      <c r="D597" s="59" t="s">
        <v>242</v>
      </c>
      <c r="E597" s="59" t="s">
        <v>505</v>
      </c>
      <c r="F597" s="59" t="s">
        <v>242</v>
      </c>
      <c r="G597" s="59" t="s">
        <v>506</v>
      </c>
      <c r="H597" s="59" t="s">
        <v>242</v>
      </c>
      <c r="I597" s="59" t="s">
        <v>755</v>
      </c>
      <c r="J597" s="59" t="s">
        <v>508</v>
      </c>
      <c r="K597" s="59" t="s">
        <v>756</v>
      </c>
      <c r="L597" s="59" t="s">
        <v>508</v>
      </c>
      <c r="M597" s="59" t="s">
        <v>757</v>
      </c>
      <c r="N597" s="59" t="s">
        <v>508</v>
      </c>
      <c r="O597" s="69" t="s">
        <v>758</v>
      </c>
      <c r="P597" s="59" t="s">
        <v>512</v>
      </c>
      <c r="Q597" s="62"/>
      <c r="R597" s="59" t="s">
        <v>759</v>
      </c>
      <c r="S597" s="59">
        <v>260329</v>
      </c>
      <c r="T597" s="59" t="s">
        <v>30</v>
      </c>
      <c r="U597" s="51" t="s">
        <v>31</v>
      </c>
      <c r="V597" s="72" t="s">
        <v>30</v>
      </c>
      <c r="W597" s="105" t="s">
        <v>51</v>
      </c>
      <c r="X597" s="72" t="s">
        <v>33</v>
      </c>
      <c r="Y597" s="51" t="str">
        <f t="shared" si="9"/>
        <v>260329_TPNB500477_0278_AXXXXXXXXX</v>
      </c>
      <c r="Z597" s="51" t="s">
        <v>34</v>
      </c>
      <c r="AA597" s="51" t="s">
        <v>35</v>
      </c>
      <c r="AB597" s="26"/>
      <c r="AC597" s="26"/>
    </row>
    <row r="598" ht="10" customHeight="1" spans="1:29">
      <c r="A598" s="26"/>
      <c r="B598" s="26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62"/>
      <c r="R598" s="59"/>
      <c r="S598" s="59">
        <v>260329</v>
      </c>
      <c r="T598" s="59" t="s">
        <v>30</v>
      </c>
      <c r="U598" s="51" t="s">
        <v>85</v>
      </c>
      <c r="V598" s="72" t="s">
        <v>30</v>
      </c>
      <c r="W598" s="74" t="s">
        <v>693</v>
      </c>
      <c r="X598" s="72" t="s">
        <v>33</v>
      </c>
      <c r="Y598" s="51" t="str">
        <f t="shared" si="9"/>
        <v>260329_TPNB500597_0203_AXXXXXXXXX</v>
      </c>
      <c r="Z598" s="51" t="s">
        <v>87</v>
      </c>
      <c r="AA598" s="51" t="s">
        <v>35</v>
      </c>
      <c r="AB598" s="26"/>
      <c r="AC598" s="26"/>
    </row>
    <row r="599" ht="10" customHeight="1" spans="1:29">
      <c r="A599" s="26"/>
      <c r="B599" s="26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62"/>
      <c r="R599" s="59"/>
      <c r="S599" s="59">
        <v>260329</v>
      </c>
      <c r="T599" s="59" t="s">
        <v>30</v>
      </c>
      <c r="U599" s="51" t="s">
        <v>88</v>
      </c>
      <c r="V599" s="72" t="s">
        <v>30</v>
      </c>
      <c r="W599" s="40" t="s">
        <v>760</v>
      </c>
      <c r="X599" s="72" t="s">
        <v>33</v>
      </c>
      <c r="Y599" s="51" t="str">
        <f t="shared" si="9"/>
        <v>260329_TPNB500641_0213_AXXXXXXXXX</v>
      </c>
      <c r="Z599" s="51" t="s">
        <v>90</v>
      </c>
      <c r="AA599" s="51" t="s">
        <v>35</v>
      </c>
      <c r="AB599" s="26"/>
      <c r="AC599" s="26"/>
    </row>
    <row r="600" ht="10" customHeight="1" spans="1:29">
      <c r="A600" s="26"/>
      <c r="B600" s="26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62"/>
      <c r="R600" s="59"/>
      <c r="S600" s="59">
        <v>260329</v>
      </c>
      <c r="T600" s="59" t="s">
        <v>30</v>
      </c>
      <c r="U600" s="51" t="s">
        <v>36</v>
      </c>
      <c r="V600" s="72" t="s">
        <v>30</v>
      </c>
      <c r="W600" s="105" t="s">
        <v>761</v>
      </c>
      <c r="X600" s="72" t="s">
        <v>33</v>
      </c>
      <c r="Y600" s="51" t="str">
        <f t="shared" si="9"/>
        <v>260329_NDX551406_RUO_0396_AXXXXXXXXX</v>
      </c>
      <c r="Z600" s="51" t="s">
        <v>38</v>
      </c>
      <c r="AA600" s="51" t="s">
        <v>39</v>
      </c>
      <c r="AB600" s="26"/>
      <c r="AC600" s="26"/>
    </row>
    <row r="601" ht="10" customHeight="1" spans="1:29">
      <c r="A601" s="26"/>
      <c r="B601" s="26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62"/>
      <c r="R601" s="59"/>
      <c r="S601" s="59">
        <v>260329</v>
      </c>
      <c r="T601" s="59" t="s">
        <v>30</v>
      </c>
      <c r="U601" s="51" t="s">
        <v>92</v>
      </c>
      <c r="V601" s="72" t="s">
        <v>30</v>
      </c>
      <c r="W601" s="103" t="s">
        <v>439</v>
      </c>
      <c r="X601" s="72" t="s">
        <v>33</v>
      </c>
      <c r="Y601" s="51" t="str">
        <f t="shared" si="9"/>
        <v>260329_NDX550598_RUO_0164_AXXXXXXXXX</v>
      </c>
      <c r="Z601" s="51" t="s">
        <v>94</v>
      </c>
      <c r="AA601" s="51" t="s">
        <v>39</v>
      </c>
      <c r="AB601" s="26"/>
      <c r="AC601" s="26"/>
    </row>
    <row r="602" ht="10" customHeight="1" spans="1:29">
      <c r="A602" s="26"/>
      <c r="B602" s="26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62"/>
      <c r="R602" s="59"/>
      <c r="S602" s="59">
        <v>260329</v>
      </c>
      <c r="T602" s="59" t="s">
        <v>30</v>
      </c>
      <c r="U602" s="51" t="s">
        <v>95</v>
      </c>
      <c r="V602" s="72" t="s">
        <v>30</v>
      </c>
      <c r="W602" s="103" t="s">
        <v>303</v>
      </c>
      <c r="X602" s="72" t="s">
        <v>33</v>
      </c>
      <c r="Y602" s="51" t="str">
        <f t="shared" si="9"/>
        <v>260329_NDX550778_RUO_0187_AXXXXXXXXX</v>
      </c>
      <c r="Z602" s="51" t="s">
        <v>97</v>
      </c>
      <c r="AA602" s="51" t="s">
        <v>39</v>
      </c>
      <c r="AB602" s="26"/>
      <c r="AC602" s="26"/>
    </row>
    <row r="603" ht="10" customHeight="1" spans="1:29">
      <c r="A603" s="26"/>
      <c r="B603" s="26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62"/>
      <c r="R603" s="59"/>
      <c r="S603" s="59">
        <v>260329</v>
      </c>
      <c r="T603" s="59" t="s">
        <v>30</v>
      </c>
      <c r="U603" s="51" t="s">
        <v>85</v>
      </c>
      <c r="V603" s="72" t="s">
        <v>30</v>
      </c>
      <c r="W603" s="74" t="s">
        <v>695</v>
      </c>
      <c r="X603" s="72" t="s">
        <v>33</v>
      </c>
      <c r="Y603" s="51" t="str">
        <f t="shared" si="9"/>
        <v>260329_TPNB500597_0204_AXXXXXXXXX</v>
      </c>
      <c r="Z603" s="51" t="s">
        <v>87</v>
      </c>
      <c r="AA603" s="51" t="s">
        <v>35</v>
      </c>
      <c r="AB603" s="26"/>
      <c r="AC603" s="26"/>
    </row>
    <row r="604" ht="10" customHeight="1" spans="1:29">
      <c r="A604" s="26"/>
      <c r="B604" s="26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62"/>
      <c r="R604" s="59"/>
      <c r="S604" s="59">
        <v>260329</v>
      </c>
      <c r="T604" s="59" t="s">
        <v>30</v>
      </c>
      <c r="U604" s="51" t="s">
        <v>88</v>
      </c>
      <c r="V604" s="72" t="s">
        <v>30</v>
      </c>
      <c r="W604" s="40" t="s">
        <v>762</v>
      </c>
      <c r="X604" s="72" t="s">
        <v>33</v>
      </c>
      <c r="Y604" s="51" t="str">
        <f t="shared" si="9"/>
        <v>260329_TPNB500641_0214_AXXXXXXXXX</v>
      </c>
      <c r="Z604" s="51" t="s">
        <v>90</v>
      </c>
      <c r="AA604" s="51" t="s">
        <v>35</v>
      </c>
      <c r="AB604" s="26"/>
      <c r="AC604" s="26"/>
    </row>
    <row r="605" ht="10" customHeight="1" spans="1:29">
      <c r="A605" s="26"/>
      <c r="B605" s="26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62"/>
      <c r="R605" s="59"/>
      <c r="S605" s="59">
        <v>260329</v>
      </c>
      <c r="T605" s="59" t="s">
        <v>30</v>
      </c>
      <c r="U605" s="51" t="s">
        <v>92</v>
      </c>
      <c r="V605" s="72" t="s">
        <v>30</v>
      </c>
      <c r="W605" s="103" t="s">
        <v>185</v>
      </c>
      <c r="X605" s="72" t="s">
        <v>33</v>
      </c>
      <c r="Y605" s="51" t="str">
        <f t="shared" si="9"/>
        <v>260329_NDX550598_RUO_0165_AXXXXXXXXX</v>
      </c>
      <c r="Z605" s="51" t="s">
        <v>94</v>
      </c>
      <c r="AA605" s="51" t="s">
        <v>39</v>
      </c>
      <c r="AB605" s="26"/>
      <c r="AC605" s="26"/>
    </row>
    <row r="606" ht="10" customHeight="1" spans="1:29">
      <c r="A606" s="26"/>
      <c r="B606" s="26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62"/>
      <c r="R606" s="59"/>
      <c r="S606" s="59">
        <v>260329</v>
      </c>
      <c r="T606" s="59" t="s">
        <v>30</v>
      </c>
      <c r="U606" s="51" t="s">
        <v>95</v>
      </c>
      <c r="V606" s="72" t="s">
        <v>30</v>
      </c>
      <c r="W606" s="103" t="s">
        <v>304</v>
      </c>
      <c r="X606" s="72" t="s">
        <v>33</v>
      </c>
      <c r="Y606" s="51" t="str">
        <f t="shared" si="9"/>
        <v>260329_NDX550778_RUO_0188_AXXXXXXXXX</v>
      </c>
      <c r="Z606" s="51" t="s">
        <v>97</v>
      </c>
      <c r="AA606" s="51" t="s">
        <v>39</v>
      </c>
      <c r="AB606" s="26"/>
      <c r="AC606" s="26"/>
    </row>
    <row r="607" ht="105" customHeight="1" spans="1:29">
      <c r="A607" s="26"/>
      <c r="B607" s="26"/>
      <c r="C607" s="59" t="s">
        <v>763</v>
      </c>
      <c r="D607" s="59" t="s">
        <v>20</v>
      </c>
      <c r="E607" s="59" t="s">
        <v>763</v>
      </c>
      <c r="F607" s="59" t="s">
        <v>20</v>
      </c>
      <c r="G607" s="59" t="s">
        <v>764</v>
      </c>
      <c r="H607" s="59" t="s">
        <v>20</v>
      </c>
      <c r="I607" s="59" t="s">
        <v>765</v>
      </c>
      <c r="J607" s="59" t="s">
        <v>20</v>
      </c>
      <c r="K607" s="59" t="s">
        <v>766</v>
      </c>
      <c r="L607" s="59" t="s">
        <v>20</v>
      </c>
      <c r="M607" s="59" t="s">
        <v>767</v>
      </c>
      <c r="N607" s="59" t="s">
        <v>20</v>
      </c>
      <c r="O607" s="69" t="s">
        <v>768</v>
      </c>
      <c r="P607" s="59" t="s">
        <v>207</v>
      </c>
      <c r="Q607" s="71" t="s">
        <v>769</v>
      </c>
      <c r="R607" s="59" t="s">
        <v>770</v>
      </c>
      <c r="S607" s="59">
        <v>260330</v>
      </c>
      <c r="T607" s="59" t="s">
        <v>30</v>
      </c>
      <c r="U607" s="51" t="s">
        <v>31</v>
      </c>
      <c r="V607" s="72" t="s">
        <v>30</v>
      </c>
      <c r="W607" s="105" t="s">
        <v>61</v>
      </c>
      <c r="X607" s="72" t="s">
        <v>33</v>
      </c>
      <c r="Y607" s="51" t="str">
        <f t="shared" si="9"/>
        <v>260330_TPNB500477_0280_AXXXXXXXXX</v>
      </c>
      <c r="Z607" s="51" t="s">
        <v>34</v>
      </c>
      <c r="AA607" s="51" t="s">
        <v>35</v>
      </c>
      <c r="AB607" s="26"/>
      <c r="AC607" s="26"/>
    </row>
    <row r="608" ht="60" customHeight="1" spans="1:29">
      <c r="A608" s="26"/>
      <c r="B608" s="26"/>
      <c r="C608" s="59" t="s">
        <v>763</v>
      </c>
      <c r="D608" s="59" t="s">
        <v>20</v>
      </c>
      <c r="E608" s="59" t="s">
        <v>763</v>
      </c>
      <c r="F608" s="59" t="s">
        <v>20</v>
      </c>
      <c r="G608" s="59" t="s">
        <v>764</v>
      </c>
      <c r="H608" s="59" t="s">
        <v>20</v>
      </c>
      <c r="I608" s="59" t="s">
        <v>765</v>
      </c>
      <c r="J608" s="59" t="s">
        <v>20</v>
      </c>
      <c r="K608" s="59" t="s">
        <v>766</v>
      </c>
      <c r="L608" s="59" t="s">
        <v>20</v>
      </c>
      <c r="M608" s="59" t="s">
        <v>771</v>
      </c>
      <c r="N608" s="59" t="s">
        <v>20</v>
      </c>
      <c r="O608" s="69" t="s">
        <v>772</v>
      </c>
      <c r="P608" s="59" t="s">
        <v>207</v>
      </c>
      <c r="Q608" s="71" t="s">
        <v>773</v>
      </c>
      <c r="R608" s="59" t="s">
        <v>770</v>
      </c>
      <c r="S608" s="59">
        <v>260330</v>
      </c>
      <c r="T608" s="59" t="s">
        <v>30</v>
      </c>
      <c r="U608" s="51" t="s">
        <v>85</v>
      </c>
      <c r="V608" s="72" t="s">
        <v>30</v>
      </c>
      <c r="W608" s="74" t="s">
        <v>709</v>
      </c>
      <c r="X608" s="72" t="s">
        <v>33</v>
      </c>
      <c r="Y608" s="51" t="str">
        <f t="shared" si="9"/>
        <v>260330_TPNB500597_0205_AXXXXXXXXX</v>
      </c>
      <c r="Z608" s="51" t="s">
        <v>87</v>
      </c>
      <c r="AA608" s="51" t="s">
        <v>35</v>
      </c>
      <c r="AB608" s="26"/>
      <c r="AC608" s="26"/>
    </row>
    <row r="609" ht="60" customHeight="1" spans="1:29">
      <c r="A609" s="26"/>
      <c r="B609" s="26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>
        <v>260330</v>
      </c>
      <c r="T609" s="59" t="s">
        <v>30</v>
      </c>
      <c r="U609" s="51" t="s">
        <v>88</v>
      </c>
      <c r="V609" s="72" t="s">
        <v>30</v>
      </c>
      <c r="W609" s="85" t="s">
        <v>774</v>
      </c>
      <c r="X609" s="72" t="s">
        <v>33</v>
      </c>
      <c r="Y609" s="51" t="str">
        <f t="shared" si="9"/>
        <v>260330_TPNB500641_0215_AXXXXXXXXX</v>
      </c>
      <c r="Z609" s="51" t="s">
        <v>90</v>
      </c>
      <c r="AA609" s="51" t="s">
        <v>35</v>
      </c>
      <c r="AB609" s="26"/>
      <c r="AC609" s="26"/>
    </row>
  </sheetData>
  <autoFilter xmlns:etc="http://www.wps.cn/officeDocument/2017/etCustomData" ref="A1:AC609" etc:filterBottomFollowUsedRange="0">
    <extLst/>
  </autoFilter>
  <mergeCells count="1030">
    <mergeCell ref="C2:C3"/>
    <mergeCell ref="C4:C5"/>
    <mergeCell ref="C6:C7"/>
    <mergeCell ref="C8:C9"/>
    <mergeCell ref="C10:C21"/>
    <mergeCell ref="C22:C33"/>
    <mergeCell ref="C34:C45"/>
    <mergeCell ref="C46:C57"/>
    <mergeCell ref="C58:C69"/>
    <mergeCell ref="C70:C81"/>
    <mergeCell ref="C82:C93"/>
    <mergeCell ref="C94:C105"/>
    <mergeCell ref="C106:C117"/>
    <mergeCell ref="C118:C129"/>
    <mergeCell ref="C130:C141"/>
    <mergeCell ref="C142:C143"/>
    <mergeCell ref="C144:C149"/>
    <mergeCell ref="C150:C161"/>
    <mergeCell ref="C162:C165"/>
    <mergeCell ref="C166:C171"/>
    <mergeCell ref="C172:C177"/>
    <mergeCell ref="C178:C183"/>
    <mergeCell ref="C184:C185"/>
    <mergeCell ref="C186:C191"/>
    <mergeCell ref="C192:C194"/>
    <mergeCell ref="C195:C206"/>
    <mergeCell ref="C207:C218"/>
    <mergeCell ref="C219:C230"/>
    <mergeCell ref="C231:C242"/>
    <mergeCell ref="C243:C254"/>
    <mergeCell ref="C255:C266"/>
    <mergeCell ref="C267:C278"/>
    <mergeCell ref="C279:C290"/>
    <mergeCell ref="C291:C302"/>
    <mergeCell ref="C303:C314"/>
    <mergeCell ref="C315:C322"/>
    <mergeCell ref="C323:C334"/>
    <mergeCell ref="C335:C346"/>
    <mergeCell ref="C347:C352"/>
    <mergeCell ref="C353:C354"/>
    <mergeCell ref="C355:C356"/>
    <mergeCell ref="C357:C358"/>
    <mergeCell ref="C359:C360"/>
    <mergeCell ref="C363:C368"/>
    <mergeCell ref="C371:C380"/>
    <mergeCell ref="C383:C392"/>
    <mergeCell ref="C395:C404"/>
    <mergeCell ref="C407:C416"/>
    <mergeCell ref="C419:C428"/>
    <mergeCell ref="C431:C440"/>
    <mergeCell ref="C443:C452"/>
    <mergeCell ref="C455:C464"/>
    <mergeCell ref="C467:C476"/>
    <mergeCell ref="C479:C488"/>
    <mergeCell ref="C491:C500"/>
    <mergeCell ref="C503:C512"/>
    <mergeCell ref="C515:C524"/>
    <mergeCell ref="C527:C536"/>
    <mergeCell ref="C539:C548"/>
    <mergeCell ref="C551:C560"/>
    <mergeCell ref="C563:C572"/>
    <mergeCell ref="C575:C584"/>
    <mergeCell ref="C587:C596"/>
    <mergeCell ref="C597:C606"/>
    <mergeCell ref="C608:C609"/>
    <mergeCell ref="D2:D3"/>
    <mergeCell ref="D4:D5"/>
    <mergeCell ref="D6:D7"/>
    <mergeCell ref="D8:D9"/>
    <mergeCell ref="D10:D21"/>
    <mergeCell ref="D22:D33"/>
    <mergeCell ref="D34:D45"/>
    <mergeCell ref="D46:D57"/>
    <mergeCell ref="D58:D69"/>
    <mergeCell ref="D70:D81"/>
    <mergeCell ref="D82:D93"/>
    <mergeCell ref="D94:D105"/>
    <mergeCell ref="D106:D117"/>
    <mergeCell ref="D118:D129"/>
    <mergeCell ref="D130:D141"/>
    <mergeCell ref="D142:D143"/>
    <mergeCell ref="D144:D149"/>
    <mergeCell ref="D150:D161"/>
    <mergeCell ref="D162:D165"/>
    <mergeCell ref="D166:D171"/>
    <mergeCell ref="D172:D177"/>
    <mergeCell ref="D178:D183"/>
    <mergeCell ref="D184:D185"/>
    <mergeCell ref="D186:D191"/>
    <mergeCell ref="D192:D194"/>
    <mergeCell ref="D195:D206"/>
    <mergeCell ref="D207:D218"/>
    <mergeCell ref="D219:D230"/>
    <mergeCell ref="D231:D242"/>
    <mergeCell ref="D243:D254"/>
    <mergeCell ref="D255:D266"/>
    <mergeCell ref="D267:D278"/>
    <mergeCell ref="D279:D290"/>
    <mergeCell ref="D291:D302"/>
    <mergeCell ref="D303:D314"/>
    <mergeCell ref="D315:D322"/>
    <mergeCell ref="D323:D334"/>
    <mergeCell ref="D335:D346"/>
    <mergeCell ref="D347:D352"/>
    <mergeCell ref="D353:D354"/>
    <mergeCell ref="D355:D356"/>
    <mergeCell ref="D357:D358"/>
    <mergeCell ref="D359:D360"/>
    <mergeCell ref="D363:D368"/>
    <mergeCell ref="D371:D380"/>
    <mergeCell ref="D383:D392"/>
    <mergeCell ref="D395:D404"/>
    <mergeCell ref="D407:D416"/>
    <mergeCell ref="D419:D428"/>
    <mergeCell ref="D431:D440"/>
    <mergeCell ref="D443:D452"/>
    <mergeCell ref="D455:D464"/>
    <mergeCell ref="D467:D476"/>
    <mergeCell ref="D479:D488"/>
    <mergeCell ref="D491:D500"/>
    <mergeCell ref="D503:D512"/>
    <mergeCell ref="D515:D524"/>
    <mergeCell ref="D527:D536"/>
    <mergeCell ref="D539:D548"/>
    <mergeCell ref="D551:D560"/>
    <mergeCell ref="D563:D572"/>
    <mergeCell ref="D575:D584"/>
    <mergeCell ref="D587:D596"/>
    <mergeCell ref="D597:D606"/>
    <mergeCell ref="D608:D609"/>
    <mergeCell ref="E2:E3"/>
    <mergeCell ref="E4:E5"/>
    <mergeCell ref="E6:E7"/>
    <mergeCell ref="E8:E9"/>
    <mergeCell ref="E10:E21"/>
    <mergeCell ref="E22:E33"/>
    <mergeCell ref="E34:E45"/>
    <mergeCell ref="E46:E57"/>
    <mergeCell ref="E58:E69"/>
    <mergeCell ref="E70:E81"/>
    <mergeCell ref="E82:E93"/>
    <mergeCell ref="E94:E105"/>
    <mergeCell ref="E106:E117"/>
    <mergeCell ref="E118:E129"/>
    <mergeCell ref="E130:E141"/>
    <mergeCell ref="E142:E143"/>
    <mergeCell ref="E144:E149"/>
    <mergeCell ref="E150:E161"/>
    <mergeCell ref="E162:E165"/>
    <mergeCell ref="E166:E171"/>
    <mergeCell ref="E172:E177"/>
    <mergeCell ref="E178:E183"/>
    <mergeCell ref="E184:E185"/>
    <mergeCell ref="E186:E191"/>
    <mergeCell ref="E192:E194"/>
    <mergeCell ref="E195:E206"/>
    <mergeCell ref="E207:E218"/>
    <mergeCell ref="E219:E230"/>
    <mergeCell ref="E231:E242"/>
    <mergeCell ref="E243:E254"/>
    <mergeCell ref="E255:E266"/>
    <mergeCell ref="E267:E278"/>
    <mergeCell ref="E279:E290"/>
    <mergeCell ref="E291:E302"/>
    <mergeCell ref="E303:E314"/>
    <mergeCell ref="E315:E322"/>
    <mergeCell ref="E323:E334"/>
    <mergeCell ref="E335:E346"/>
    <mergeCell ref="E347:E352"/>
    <mergeCell ref="E353:E354"/>
    <mergeCell ref="E355:E356"/>
    <mergeCell ref="E357:E358"/>
    <mergeCell ref="E359:E360"/>
    <mergeCell ref="E363:E368"/>
    <mergeCell ref="E371:E380"/>
    <mergeCell ref="E383:E392"/>
    <mergeCell ref="E395:E404"/>
    <mergeCell ref="E407:E416"/>
    <mergeCell ref="E419:E428"/>
    <mergeCell ref="E431:E440"/>
    <mergeCell ref="E443:E452"/>
    <mergeCell ref="E455:E464"/>
    <mergeCell ref="E467:E476"/>
    <mergeCell ref="E479:E488"/>
    <mergeCell ref="E491:E500"/>
    <mergeCell ref="E503:E512"/>
    <mergeCell ref="E515:E524"/>
    <mergeCell ref="E527:E536"/>
    <mergeCell ref="E539:E548"/>
    <mergeCell ref="E551:E560"/>
    <mergeCell ref="E563:E572"/>
    <mergeCell ref="E575:E584"/>
    <mergeCell ref="E587:E596"/>
    <mergeCell ref="E597:E606"/>
    <mergeCell ref="E608:E609"/>
    <mergeCell ref="F2:F3"/>
    <mergeCell ref="F4:F5"/>
    <mergeCell ref="F6:F7"/>
    <mergeCell ref="F8:F9"/>
    <mergeCell ref="F10:F21"/>
    <mergeCell ref="F22:F33"/>
    <mergeCell ref="F34:F45"/>
    <mergeCell ref="F46:F57"/>
    <mergeCell ref="F58:F69"/>
    <mergeCell ref="F70:F81"/>
    <mergeCell ref="F82:F93"/>
    <mergeCell ref="F94:F105"/>
    <mergeCell ref="F106:F117"/>
    <mergeCell ref="F118:F129"/>
    <mergeCell ref="F130:F141"/>
    <mergeCell ref="F142:F143"/>
    <mergeCell ref="F144:F149"/>
    <mergeCell ref="F150:F161"/>
    <mergeCell ref="F162:F165"/>
    <mergeCell ref="F166:F171"/>
    <mergeCell ref="F172:F177"/>
    <mergeCell ref="F178:F183"/>
    <mergeCell ref="F184:F185"/>
    <mergeCell ref="F186:F191"/>
    <mergeCell ref="F192:F194"/>
    <mergeCell ref="F195:F206"/>
    <mergeCell ref="F207:F218"/>
    <mergeCell ref="F219:F230"/>
    <mergeCell ref="F231:F242"/>
    <mergeCell ref="F243:F254"/>
    <mergeCell ref="F255:F266"/>
    <mergeCell ref="F267:F278"/>
    <mergeCell ref="F279:F290"/>
    <mergeCell ref="F291:F302"/>
    <mergeCell ref="F303:F314"/>
    <mergeCell ref="F315:F322"/>
    <mergeCell ref="F323:F334"/>
    <mergeCell ref="F335:F346"/>
    <mergeCell ref="F347:F352"/>
    <mergeCell ref="F353:F354"/>
    <mergeCell ref="F355:F356"/>
    <mergeCell ref="F357:F358"/>
    <mergeCell ref="F359:F360"/>
    <mergeCell ref="F363:F368"/>
    <mergeCell ref="F371:F380"/>
    <mergeCell ref="F383:F392"/>
    <mergeCell ref="F395:F404"/>
    <mergeCell ref="F407:F416"/>
    <mergeCell ref="F419:F428"/>
    <mergeCell ref="F431:F440"/>
    <mergeCell ref="F443:F452"/>
    <mergeCell ref="F455:F464"/>
    <mergeCell ref="F467:F476"/>
    <mergeCell ref="F479:F488"/>
    <mergeCell ref="F491:F500"/>
    <mergeCell ref="F503:F512"/>
    <mergeCell ref="F515:F524"/>
    <mergeCell ref="F527:F536"/>
    <mergeCell ref="F539:F548"/>
    <mergeCell ref="F551:F560"/>
    <mergeCell ref="F563:F572"/>
    <mergeCell ref="F575:F584"/>
    <mergeCell ref="F587:F596"/>
    <mergeCell ref="F597:F606"/>
    <mergeCell ref="F608:F609"/>
    <mergeCell ref="G2:G3"/>
    <mergeCell ref="G4:G5"/>
    <mergeCell ref="G6:G7"/>
    <mergeCell ref="G8:G9"/>
    <mergeCell ref="G10:G21"/>
    <mergeCell ref="G22:G33"/>
    <mergeCell ref="G34:G45"/>
    <mergeCell ref="G46:G57"/>
    <mergeCell ref="G58:G69"/>
    <mergeCell ref="G70:G81"/>
    <mergeCell ref="G82:G93"/>
    <mergeCell ref="G94:G105"/>
    <mergeCell ref="G106:G117"/>
    <mergeCell ref="G118:G129"/>
    <mergeCell ref="G130:G141"/>
    <mergeCell ref="G142:G143"/>
    <mergeCell ref="G144:G149"/>
    <mergeCell ref="G150:G161"/>
    <mergeCell ref="G162:G165"/>
    <mergeCell ref="G166:G171"/>
    <mergeCell ref="G172:G177"/>
    <mergeCell ref="G178:G183"/>
    <mergeCell ref="G184:G185"/>
    <mergeCell ref="G186:G191"/>
    <mergeCell ref="G192:G194"/>
    <mergeCell ref="G195:G206"/>
    <mergeCell ref="G207:G218"/>
    <mergeCell ref="G219:G230"/>
    <mergeCell ref="G231:G242"/>
    <mergeCell ref="G243:G254"/>
    <mergeCell ref="G255:G266"/>
    <mergeCell ref="G267:G278"/>
    <mergeCell ref="G279:G290"/>
    <mergeCell ref="G291:G302"/>
    <mergeCell ref="G303:G314"/>
    <mergeCell ref="G315:G322"/>
    <mergeCell ref="G323:G334"/>
    <mergeCell ref="G335:G346"/>
    <mergeCell ref="G347:G352"/>
    <mergeCell ref="G353:G354"/>
    <mergeCell ref="G355:G356"/>
    <mergeCell ref="G357:G358"/>
    <mergeCell ref="G359:G360"/>
    <mergeCell ref="G363:G368"/>
    <mergeCell ref="G371:G380"/>
    <mergeCell ref="G383:G392"/>
    <mergeCell ref="G395:G404"/>
    <mergeCell ref="G407:G416"/>
    <mergeCell ref="G419:G428"/>
    <mergeCell ref="G431:G440"/>
    <mergeCell ref="G443:G452"/>
    <mergeCell ref="G455:G464"/>
    <mergeCell ref="G467:G476"/>
    <mergeCell ref="G479:G488"/>
    <mergeCell ref="G491:G500"/>
    <mergeCell ref="G503:G512"/>
    <mergeCell ref="G515:G524"/>
    <mergeCell ref="G527:G536"/>
    <mergeCell ref="G539:G548"/>
    <mergeCell ref="G551:G560"/>
    <mergeCell ref="G563:G572"/>
    <mergeCell ref="G575:G584"/>
    <mergeCell ref="G587:G596"/>
    <mergeCell ref="G597:G606"/>
    <mergeCell ref="G608:G609"/>
    <mergeCell ref="H2:H3"/>
    <mergeCell ref="H4:H5"/>
    <mergeCell ref="H6:H7"/>
    <mergeCell ref="H8:H9"/>
    <mergeCell ref="H10:H21"/>
    <mergeCell ref="H22:H33"/>
    <mergeCell ref="H34:H45"/>
    <mergeCell ref="H46:H57"/>
    <mergeCell ref="H58:H69"/>
    <mergeCell ref="H70:H81"/>
    <mergeCell ref="H82:H93"/>
    <mergeCell ref="H94:H105"/>
    <mergeCell ref="H106:H117"/>
    <mergeCell ref="H118:H129"/>
    <mergeCell ref="H130:H141"/>
    <mergeCell ref="H142:H143"/>
    <mergeCell ref="H144:H149"/>
    <mergeCell ref="H150:H161"/>
    <mergeCell ref="H162:H165"/>
    <mergeCell ref="H166:H171"/>
    <mergeCell ref="H172:H177"/>
    <mergeCell ref="H178:H183"/>
    <mergeCell ref="H184:H185"/>
    <mergeCell ref="H186:H191"/>
    <mergeCell ref="H192:H194"/>
    <mergeCell ref="H195:H206"/>
    <mergeCell ref="H207:H218"/>
    <mergeCell ref="H219:H230"/>
    <mergeCell ref="H231:H242"/>
    <mergeCell ref="H243:H254"/>
    <mergeCell ref="H255:H266"/>
    <mergeCell ref="H267:H278"/>
    <mergeCell ref="H279:H290"/>
    <mergeCell ref="H291:H302"/>
    <mergeCell ref="H303:H314"/>
    <mergeCell ref="H315:H322"/>
    <mergeCell ref="H323:H334"/>
    <mergeCell ref="H335:H346"/>
    <mergeCell ref="H347:H352"/>
    <mergeCell ref="H353:H354"/>
    <mergeCell ref="H355:H356"/>
    <mergeCell ref="H357:H358"/>
    <mergeCell ref="H359:H360"/>
    <mergeCell ref="H363:H368"/>
    <mergeCell ref="H371:H380"/>
    <mergeCell ref="H383:H392"/>
    <mergeCell ref="H395:H404"/>
    <mergeCell ref="H407:H416"/>
    <mergeCell ref="H419:H428"/>
    <mergeCell ref="H431:H440"/>
    <mergeCell ref="H443:H452"/>
    <mergeCell ref="H455:H464"/>
    <mergeCell ref="H467:H476"/>
    <mergeCell ref="H479:H488"/>
    <mergeCell ref="H491:H500"/>
    <mergeCell ref="H503:H512"/>
    <mergeCell ref="H515:H524"/>
    <mergeCell ref="H527:H536"/>
    <mergeCell ref="H539:H548"/>
    <mergeCell ref="H551:H560"/>
    <mergeCell ref="H563:H572"/>
    <mergeCell ref="H575:H584"/>
    <mergeCell ref="H587:H596"/>
    <mergeCell ref="H597:H606"/>
    <mergeCell ref="H608:H609"/>
    <mergeCell ref="I2:I3"/>
    <mergeCell ref="I4:I5"/>
    <mergeCell ref="I6:I7"/>
    <mergeCell ref="I8:I9"/>
    <mergeCell ref="I10:I21"/>
    <mergeCell ref="I22:I33"/>
    <mergeCell ref="I34:I45"/>
    <mergeCell ref="I46:I57"/>
    <mergeCell ref="I58:I69"/>
    <mergeCell ref="I70:I81"/>
    <mergeCell ref="I82:I93"/>
    <mergeCell ref="I94:I105"/>
    <mergeCell ref="I106:I117"/>
    <mergeCell ref="I118:I129"/>
    <mergeCell ref="I130:I141"/>
    <mergeCell ref="I142:I143"/>
    <mergeCell ref="I144:I149"/>
    <mergeCell ref="I150:I161"/>
    <mergeCell ref="I162:I165"/>
    <mergeCell ref="I166:I171"/>
    <mergeCell ref="I172:I177"/>
    <mergeCell ref="I178:I183"/>
    <mergeCell ref="I184:I185"/>
    <mergeCell ref="I186:I191"/>
    <mergeCell ref="I192:I194"/>
    <mergeCell ref="I195:I206"/>
    <mergeCell ref="I207:I218"/>
    <mergeCell ref="I219:I230"/>
    <mergeCell ref="I231:I242"/>
    <mergeCell ref="I243:I254"/>
    <mergeCell ref="I255:I266"/>
    <mergeCell ref="I267:I278"/>
    <mergeCell ref="I279:I290"/>
    <mergeCell ref="I291:I302"/>
    <mergeCell ref="I303:I314"/>
    <mergeCell ref="I315:I322"/>
    <mergeCell ref="I323:I334"/>
    <mergeCell ref="I335:I346"/>
    <mergeCell ref="I347:I352"/>
    <mergeCell ref="I353:I354"/>
    <mergeCell ref="I355:I356"/>
    <mergeCell ref="I357:I358"/>
    <mergeCell ref="I359:I360"/>
    <mergeCell ref="I363:I368"/>
    <mergeCell ref="I371:I380"/>
    <mergeCell ref="I383:I392"/>
    <mergeCell ref="I395:I404"/>
    <mergeCell ref="I407:I416"/>
    <mergeCell ref="I419:I428"/>
    <mergeCell ref="I431:I440"/>
    <mergeCell ref="I443:I452"/>
    <mergeCell ref="I455:I464"/>
    <mergeCell ref="I467:I476"/>
    <mergeCell ref="I479:I488"/>
    <mergeCell ref="I491:I500"/>
    <mergeCell ref="I503:I512"/>
    <mergeCell ref="I515:I524"/>
    <mergeCell ref="I527:I536"/>
    <mergeCell ref="I539:I548"/>
    <mergeCell ref="I551:I560"/>
    <mergeCell ref="I563:I572"/>
    <mergeCell ref="I575:I584"/>
    <mergeCell ref="I587:I596"/>
    <mergeCell ref="I597:I606"/>
    <mergeCell ref="I608:I609"/>
    <mergeCell ref="J2:J3"/>
    <mergeCell ref="J4:J5"/>
    <mergeCell ref="J6:J7"/>
    <mergeCell ref="J8:J9"/>
    <mergeCell ref="J10:J21"/>
    <mergeCell ref="J22:J33"/>
    <mergeCell ref="J34:J45"/>
    <mergeCell ref="J46:J57"/>
    <mergeCell ref="J58:J69"/>
    <mergeCell ref="J70:J81"/>
    <mergeCell ref="J82:J93"/>
    <mergeCell ref="J94:J105"/>
    <mergeCell ref="J106:J117"/>
    <mergeCell ref="J118:J129"/>
    <mergeCell ref="J130:J141"/>
    <mergeCell ref="J142:J143"/>
    <mergeCell ref="J144:J149"/>
    <mergeCell ref="J150:J161"/>
    <mergeCell ref="J162:J165"/>
    <mergeCell ref="J166:J171"/>
    <mergeCell ref="J172:J177"/>
    <mergeCell ref="J178:J183"/>
    <mergeCell ref="J184:J185"/>
    <mergeCell ref="J186:J191"/>
    <mergeCell ref="J192:J194"/>
    <mergeCell ref="J195:J206"/>
    <mergeCell ref="J207:J218"/>
    <mergeCell ref="J219:J230"/>
    <mergeCell ref="J231:J242"/>
    <mergeCell ref="J243:J254"/>
    <mergeCell ref="J255:J266"/>
    <mergeCell ref="J267:J278"/>
    <mergeCell ref="J279:J290"/>
    <mergeCell ref="J291:J302"/>
    <mergeCell ref="J303:J314"/>
    <mergeCell ref="J315:J322"/>
    <mergeCell ref="J323:J334"/>
    <mergeCell ref="J335:J346"/>
    <mergeCell ref="J347:J352"/>
    <mergeCell ref="J353:J354"/>
    <mergeCell ref="J355:J356"/>
    <mergeCell ref="J357:J358"/>
    <mergeCell ref="J359:J360"/>
    <mergeCell ref="J363:J368"/>
    <mergeCell ref="J371:J380"/>
    <mergeCell ref="J383:J392"/>
    <mergeCell ref="J395:J404"/>
    <mergeCell ref="J407:J416"/>
    <mergeCell ref="J419:J428"/>
    <mergeCell ref="J431:J440"/>
    <mergeCell ref="J443:J452"/>
    <mergeCell ref="J455:J464"/>
    <mergeCell ref="J467:J476"/>
    <mergeCell ref="J479:J488"/>
    <mergeCell ref="J491:J500"/>
    <mergeCell ref="J503:J512"/>
    <mergeCell ref="J515:J524"/>
    <mergeCell ref="J527:J536"/>
    <mergeCell ref="J539:J548"/>
    <mergeCell ref="J551:J560"/>
    <mergeCell ref="J563:J572"/>
    <mergeCell ref="J575:J584"/>
    <mergeCell ref="J587:J596"/>
    <mergeCell ref="J597:J606"/>
    <mergeCell ref="J608:J609"/>
    <mergeCell ref="K2:K3"/>
    <mergeCell ref="K4:K5"/>
    <mergeCell ref="K6:K7"/>
    <mergeCell ref="K8:K9"/>
    <mergeCell ref="K10:K21"/>
    <mergeCell ref="K22:K33"/>
    <mergeCell ref="K34:K45"/>
    <mergeCell ref="K46:K57"/>
    <mergeCell ref="K58:K69"/>
    <mergeCell ref="K70:K81"/>
    <mergeCell ref="K82:K93"/>
    <mergeCell ref="K94:K105"/>
    <mergeCell ref="K106:K117"/>
    <mergeCell ref="K118:K129"/>
    <mergeCell ref="K130:K141"/>
    <mergeCell ref="K142:K143"/>
    <mergeCell ref="K144:K149"/>
    <mergeCell ref="K150:K161"/>
    <mergeCell ref="K162:K165"/>
    <mergeCell ref="K166:K171"/>
    <mergeCell ref="K172:K177"/>
    <mergeCell ref="K178:K183"/>
    <mergeCell ref="K184:K185"/>
    <mergeCell ref="K186:K191"/>
    <mergeCell ref="K192:K194"/>
    <mergeCell ref="K195:K206"/>
    <mergeCell ref="K207:K218"/>
    <mergeCell ref="K219:K230"/>
    <mergeCell ref="K231:K242"/>
    <mergeCell ref="K243:K254"/>
    <mergeCell ref="K255:K266"/>
    <mergeCell ref="K267:K278"/>
    <mergeCell ref="K279:K290"/>
    <mergeCell ref="K291:K302"/>
    <mergeCell ref="K303:K314"/>
    <mergeCell ref="K315:K322"/>
    <mergeCell ref="K323:K334"/>
    <mergeCell ref="K335:K346"/>
    <mergeCell ref="K347:K352"/>
    <mergeCell ref="K353:K354"/>
    <mergeCell ref="K355:K356"/>
    <mergeCell ref="K357:K358"/>
    <mergeCell ref="K359:K360"/>
    <mergeCell ref="K363:K368"/>
    <mergeCell ref="K371:K380"/>
    <mergeCell ref="K383:K392"/>
    <mergeCell ref="K395:K404"/>
    <mergeCell ref="K407:K416"/>
    <mergeCell ref="K419:K428"/>
    <mergeCell ref="K431:K440"/>
    <mergeCell ref="K443:K452"/>
    <mergeCell ref="K455:K464"/>
    <mergeCell ref="K467:K476"/>
    <mergeCell ref="K479:K488"/>
    <mergeCell ref="K491:K500"/>
    <mergeCell ref="K503:K512"/>
    <mergeCell ref="K515:K524"/>
    <mergeCell ref="K527:K536"/>
    <mergeCell ref="K539:K548"/>
    <mergeCell ref="K551:K560"/>
    <mergeCell ref="K563:K572"/>
    <mergeCell ref="K575:K584"/>
    <mergeCell ref="K587:K596"/>
    <mergeCell ref="K597:K606"/>
    <mergeCell ref="K608:K609"/>
    <mergeCell ref="L2:L3"/>
    <mergeCell ref="L4:L5"/>
    <mergeCell ref="L6:L7"/>
    <mergeCell ref="L8:L9"/>
    <mergeCell ref="L10:L21"/>
    <mergeCell ref="L22:L33"/>
    <mergeCell ref="L34:L45"/>
    <mergeCell ref="L46:L57"/>
    <mergeCell ref="L58:L69"/>
    <mergeCell ref="L70:L81"/>
    <mergeCell ref="L82:L93"/>
    <mergeCell ref="L94:L105"/>
    <mergeCell ref="L106:L117"/>
    <mergeCell ref="L118:L129"/>
    <mergeCell ref="L130:L141"/>
    <mergeCell ref="L142:L143"/>
    <mergeCell ref="L144:L149"/>
    <mergeCell ref="L150:L161"/>
    <mergeCell ref="L162:L165"/>
    <mergeCell ref="L166:L171"/>
    <mergeCell ref="L172:L177"/>
    <mergeCell ref="L178:L183"/>
    <mergeCell ref="L184:L185"/>
    <mergeCell ref="L186:L191"/>
    <mergeCell ref="L192:L194"/>
    <mergeCell ref="L195:L206"/>
    <mergeCell ref="L207:L218"/>
    <mergeCell ref="L219:L230"/>
    <mergeCell ref="L231:L242"/>
    <mergeCell ref="L243:L254"/>
    <mergeCell ref="L255:L266"/>
    <mergeCell ref="L267:L278"/>
    <mergeCell ref="L279:L290"/>
    <mergeCell ref="L291:L302"/>
    <mergeCell ref="L303:L314"/>
    <mergeCell ref="L315:L322"/>
    <mergeCell ref="L323:L334"/>
    <mergeCell ref="L335:L346"/>
    <mergeCell ref="L347:L352"/>
    <mergeCell ref="L353:L354"/>
    <mergeCell ref="L355:L356"/>
    <mergeCell ref="L357:L358"/>
    <mergeCell ref="L359:L360"/>
    <mergeCell ref="L363:L368"/>
    <mergeCell ref="L371:L380"/>
    <mergeCell ref="L383:L392"/>
    <mergeCell ref="L395:L404"/>
    <mergeCell ref="L407:L416"/>
    <mergeCell ref="L419:L428"/>
    <mergeCell ref="L431:L440"/>
    <mergeCell ref="L443:L452"/>
    <mergeCell ref="L455:L464"/>
    <mergeCell ref="L467:L476"/>
    <mergeCell ref="L479:L488"/>
    <mergeCell ref="L491:L500"/>
    <mergeCell ref="L503:L512"/>
    <mergeCell ref="L515:L524"/>
    <mergeCell ref="L527:L536"/>
    <mergeCell ref="L539:L548"/>
    <mergeCell ref="L551:L560"/>
    <mergeCell ref="L563:L572"/>
    <mergeCell ref="L575:L584"/>
    <mergeCell ref="L587:L596"/>
    <mergeCell ref="L597:L606"/>
    <mergeCell ref="L608:L609"/>
    <mergeCell ref="M2:M3"/>
    <mergeCell ref="M4:M5"/>
    <mergeCell ref="M6:M7"/>
    <mergeCell ref="M8:M9"/>
    <mergeCell ref="M10:M21"/>
    <mergeCell ref="M22:M33"/>
    <mergeCell ref="M34:M45"/>
    <mergeCell ref="M46:M57"/>
    <mergeCell ref="M58:M69"/>
    <mergeCell ref="M70:M81"/>
    <mergeCell ref="M82:M93"/>
    <mergeCell ref="M94:M105"/>
    <mergeCell ref="M106:M117"/>
    <mergeCell ref="M118:M129"/>
    <mergeCell ref="M130:M141"/>
    <mergeCell ref="M142:M143"/>
    <mergeCell ref="M144:M149"/>
    <mergeCell ref="M150:M161"/>
    <mergeCell ref="M162:M165"/>
    <mergeCell ref="M166:M171"/>
    <mergeCell ref="M172:M177"/>
    <mergeCell ref="M178:M183"/>
    <mergeCell ref="M184:M185"/>
    <mergeCell ref="M186:M191"/>
    <mergeCell ref="M192:M194"/>
    <mergeCell ref="M195:M206"/>
    <mergeCell ref="M207:M218"/>
    <mergeCell ref="M219:M230"/>
    <mergeCell ref="M231:M242"/>
    <mergeCell ref="M243:M254"/>
    <mergeCell ref="M255:M266"/>
    <mergeCell ref="M267:M278"/>
    <mergeCell ref="M279:M290"/>
    <mergeCell ref="M291:M302"/>
    <mergeCell ref="M303:M314"/>
    <mergeCell ref="M315:M322"/>
    <mergeCell ref="M323:M334"/>
    <mergeCell ref="M335:M346"/>
    <mergeCell ref="M347:M352"/>
    <mergeCell ref="M353:M354"/>
    <mergeCell ref="M355:M356"/>
    <mergeCell ref="M357:M358"/>
    <mergeCell ref="M359:M360"/>
    <mergeCell ref="M363:M368"/>
    <mergeCell ref="M371:M380"/>
    <mergeCell ref="M383:M392"/>
    <mergeCell ref="M395:M404"/>
    <mergeCell ref="M407:M416"/>
    <mergeCell ref="M419:M428"/>
    <mergeCell ref="M431:M440"/>
    <mergeCell ref="M443:M452"/>
    <mergeCell ref="M455:M464"/>
    <mergeCell ref="M467:M476"/>
    <mergeCell ref="M479:M488"/>
    <mergeCell ref="M491:M500"/>
    <mergeCell ref="M503:M512"/>
    <mergeCell ref="M515:M524"/>
    <mergeCell ref="M527:M536"/>
    <mergeCell ref="M539:M548"/>
    <mergeCell ref="M551:M560"/>
    <mergeCell ref="M563:M572"/>
    <mergeCell ref="M575:M584"/>
    <mergeCell ref="M587:M596"/>
    <mergeCell ref="M597:M606"/>
    <mergeCell ref="M608:M609"/>
    <mergeCell ref="N2:N3"/>
    <mergeCell ref="N4:N5"/>
    <mergeCell ref="N6:N7"/>
    <mergeCell ref="N8:N9"/>
    <mergeCell ref="N10:N21"/>
    <mergeCell ref="N22:N33"/>
    <mergeCell ref="N34:N45"/>
    <mergeCell ref="N46:N57"/>
    <mergeCell ref="N58:N69"/>
    <mergeCell ref="N70:N81"/>
    <mergeCell ref="N82:N93"/>
    <mergeCell ref="N94:N105"/>
    <mergeCell ref="N106:N117"/>
    <mergeCell ref="N118:N129"/>
    <mergeCell ref="N130:N141"/>
    <mergeCell ref="N142:N143"/>
    <mergeCell ref="N144:N149"/>
    <mergeCell ref="N150:N161"/>
    <mergeCell ref="N162:N165"/>
    <mergeCell ref="N166:N171"/>
    <mergeCell ref="N172:N177"/>
    <mergeCell ref="N178:N183"/>
    <mergeCell ref="N184:N185"/>
    <mergeCell ref="N186:N191"/>
    <mergeCell ref="N192:N194"/>
    <mergeCell ref="N195:N206"/>
    <mergeCell ref="N207:N218"/>
    <mergeCell ref="N219:N230"/>
    <mergeCell ref="N231:N242"/>
    <mergeCell ref="N243:N254"/>
    <mergeCell ref="N255:N266"/>
    <mergeCell ref="N267:N278"/>
    <mergeCell ref="N279:N290"/>
    <mergeCell ref="N291:N302"/>
    <mergeCell ref="N303:N314"/>
    <mergeCell ref="N315:N322"/>
    <mergeCell ref="N323:N334"/>
    <mergeCell ref="N335:N346"/>
    <mergeCell ref="N347:N352"/>
    <mergeCell ref="N353:N354"/>
    <mergeCell ref="N355:N356"/>
    <mergeCell ref="N357:N358"/>
    <mergeCell ref="N359:N360"/>
    <mergeCell ref="N363:N368"/>
    <mergeCell ref="N371:N380"/>
    <mergeCell ref="N383:N392"/>
    <mergeCell ref="N395:N404"/>
    <mergeCell ref="N407:N416"/>
    <mergeCell ref="N419:N428"/>
    <mergeCell ref="N431:N440"/>
    <mergeCell ref="N443:N452"/>
    <mergeCell ref="N455:N464"/>
    <mergeCell ref="N467:N476"/>
    <mergeCell ref="N479:N488"/>
    <mergeCell ref="N491:N500"/>
    <mergeCell ref="N503:N512"/>
    <mergeCell ref="N515:N524"/>
    <mergeCell ref="N527:N536"/>
    <mergeCell ref="N539:N548"/>
    <mergeCell ref="N551:N560"/>
    <mergeCell ref="N563:N572"/>
    <mergeCell ref="N575:N584"/>
    <mergeCell ref="N587:N596"/>
    <mergeCell ref="N597:N606"/>
    <mergeCell ref="N608:N609"/>
    <mergeCell ref="O2:O3"/>
    <mergeCell ref="O4:O5"/>
    <mergeCell ref="O6:O7"/>
    <mergeCell ref="O8:O9"/>
    <mergeCell ref="O10:O21"/>
    <mergeCell ref="O22:O33"/>
    <mergeCell ref="O34:O45"/>
    <mergeCell ref="O46:O57"/>
    <mergeCell ref="O58:O69"/>
    <mergeCell ref="O70:O81"/>
    <mergeCell ref="O82:O93"/>
    <mergeCell ref="O94:O105"/>
    <mergeCell ref="O106:O117"/>
    <mergeCell ref="O118:O129"/>
    <mergeCell ref="O130:O141"/>
    <mergeCell ref="O142:O143"/>
    <mergeCell ref="O144:O149"/>
    <mergeCell ref="O150:O161"/>
    <mergeCell ref="O162:O165"/>
    <mergeCell ref="O166:O171"/>
    <mergeCell ref="O172:O177"/>
    <mergeCell ref="O178:O183"/>
    <mergeCell ref="O184:O185"/>
    <mergeCell ref="O186:O191"/>
    <mergeCell ref="O192:O194"/>
    <mergeCell ref="O195:O206"/>
    <mergeCell ref="O207:O218"/>
    <mergeCell ref="O219:O230"/>
    <mergeCell ref="O231:O242"/>
    <mergeCell ref="O243:O254"/>
    <mergeCell ref="O255:O266"/>
    <mergeCell ref="O267:O278"/>
    <mergeCell ref="O279:O290"/>
    <mergeCell ref="O291:O302"/>
    <mergeCell ref="O303:O314"/>
    <mergeCell ref="O315:O322"/>
    <mergeCell ref="O323:O334"/>
    <mergeCell ref="O335:O346"/>
    <mergeCell ref="O347:O352"/>
    <mergeCell ref="O353:O354"/>
    <mergeCell ref="O355:O356"/>
    <mergeCell ref="O357:O358"/>
    <mergeCell ref="O359:O360"/>
    <mergeCell ref="O363:O368"/>
    <mergeCell ref="O371:O380"/>
    <mergeCell ref="O383:O392"/>
    <mergeCell ref="O395:O404"/>
    <mergeCell ref="O407:O416"/>
    <mergeCell ref="O419:O428"/>
    <mergeCell ref="O431:O440"/>
    <mergeCell ref="O443:O452"/>
    <mergeCell ref="O455:O464"/>
    <mergeCell ref="O467:O476"/>
    <mergeCell ref="O479:O488"/>
    <mergeCell ref="O491:O500"/>
    <mergeCell ref="O503:O512"/>
    <mergeCell ref="O515:O524"/>
    <mergeCell ref="O527:O536"/>
    <mergeCell ref="O539:O548"/>
    <mergeCell ref="O551:O560"/>
    <mergeCell ref="O563:O572"/>
    <mergeCell ref="O575:O584"/>
    <mergeCell ref="O587:O596"/>
    <mergeCell ref="O597:O606"/>
    <mergeCell ref="O608:O609"/>
    <mergeCell ref="P2:P3"/>
    <mergeCell ref="P4:P5"/>
    <mergeCell ref="P6:P7"/>
    <mergeCell ref="P8:P9"/>
    <mergeCell ref="P10:P21"/>
    <mergeCell ref="P22:P33"/>
    <mergeCell ref="P34:P45"/>
    <mergeCell ref="P46:P57"/>
    <mergeCell ref="P58:P69"/>
    <mergeCell ref="P70:P81"/>
    <mergeCell ref="P82:P93"/>
    <mergeCell ref="P94:P105"/>
    <mergeCell ref="P106:P117"/>
    <mergeCell ref="P118:P129"/>
    <mergeCell ref="P130:P141"/>
    <mergeCell ref="P142:P143"/>
    <mergeCell ref="P144:P149"/>
    <mergeCell ref="P150:P161"/>
    <mergeCell ref="P162:P165"/>
    <mergeCell ref="P166:P171"/>
    <mergeCell ref="P172:P177"/>
    <mergeCell ref="P178:P183"/>
    <mergeCell ref="P184:P185"/>
    <mergeCell ref="P186:P191"/>
    <mergeCell ref="P192:P194"/>
    <mergeCell ref="P195:P206"/>
    <mergeCell ref="P207:P218"/>
    <mergeCell ref="P219:P230"/>
    <mergeCell ref="P231:P242"/>
    <mergeCell ref="P243:P254"/>
    <mergeCell ref="P255:P266"/>
    <mergeCell ref="P267:P278"/>
    <mergeCell ref="P279:P290"/>
    <mergeCell ref="P291:P302"/>
    <mergeCell ref="P303:P314"/>
    <mergeCell ref="P315:P322"/>
    <mergeCell ref="P323:P334"/>
    <mergeCell ref="P335:P346"/>
    <mergeCell ref="P347:P352"/>
    <mergeCell ref="P353:P354"/>
    <mergeCell ref="P355:P356"/>
    <mergeCell ref="P357:P358"/>
    <mergeCell ref="P359:P360"/>
    <mergeCell ref="P363:P368"/>
    <mergeCell ref="P371:P380"/>
    <mergeCell ref="P383:P392"/>
    <mergeCell ref="P395:P404"/>
    <mergeCell ref="P407:P416"/>
    <mergeCell ref="P419:P428"/>
    <mergeCell ref="P431:P440"/>
    <mergeCell ref="P443:P452"/>
    <mergeCell ref="P455:P464"/>
    <mergeCell ref="P467:P476"/>
    <mergeCell ref="P479:P488"/>
    <mergeCell ref="P491:P500"/>
    <mergeCell ref="P503:P512"/>
    <mergeCell ref="P515:P524"/>
    <mergeCell ref="P527:P536"/>
    <mergeCell ref="P539:P548"/>
    <mergeCell ref="P551:P560"/>
    <mergeCell ref="P563:P572"/>
    <mergeCell ref="P575:P584"/>
    <mergeCell ref="P587:P596"/>
    <mergeCell ref="P597:P606"/>
    <mergeCell ref="P608:P609"/>
    <mergeCell ref="Q2:Q3"/>
    <mergeCell ref="Q4:Q9"/>
    <mergeCell ref="Q10:Q143"/>
    <mergeCell ref="Q144:Q149"/>
    <mergeCell ref="Q150:Q165"/>
    <mergeCell ref="Q166:Q185"/>
    <mergeCell ref="Q186:Q194"/>
    <mergeCell ref="Q195:Q242"/>
    <mergeCell ref="Q243:Q322"/>
    <mergeCell ref="Q323:Q352"/>
    <mergeCell ref="Q353:Q354"/>
    <mergeCell ref="Q355:Q356"/>
    <mergeCell ref="Q357:Q358"/>
    <mergeCell ref="Q359:Q360"/>
    <mergeCell ref="Q361:Q362"/>
    <mergeCell ref="Q363:Q368"/>
    <mergeCell ref="Q369:Q370"/>
    <mergeCell ref="Q371:Q380"/>
    <mergeCell ref="Q381:Q382"/>
    <mergeCell ref="Q383:Q392"/>
    <mergeCell ref="Q393:Q394"/>
    <mergeCell ref="Q395:Q404"/>
    <mergeCell ref="Q405:Q406"/>
    <mergeCell ref="Q407:Q416"/>
    <mergeCell ref="Q417:Q418"/>
    <mergeCell ref="Q419:Q428"/>
    <mergeCell ref="Q429:Q430"/>
    <mergeCell ref="Q431:Q440"/>
    <mergeCell ref="Q441:Q442"/>
    <mergeCell ref="Q443:Q452"/>
    <mergeCell ref="Q453:Q454"/>
    <mergeCell ref="Q455:Q464"/>
    <mergeCell ref="Q465:Q466"/>
    <mergeCell ref="Q467:Q476"/>
    <mergeCell ref="Q477:Q478"/>
    <mergeCell ref="Q479:Q488"/>
    <mergeCell ref="Q489:Q490"/>
    <mergeCell ref="Q491:Q500"/>
    <mergeCell ref="Q501:Q502"/>
    <mergeCell ref="Q503:Q512"/>
    <mergeCell ref="Q513:Q514"/>
    <mergeCell ref="Q515:Q524"/>
    <mergeCell ref="Q525:Q526"/>
    <mergeCell ref="Q527:Q536"/>
    <mergeCell ref="Q537:Q538"/>
    <mergeCell ref="Q539:Q548"/>
    <mergeCell ref="Q549:Q550"/>
    <mergeCell ref="Q551:Q560"/>
    <mergeCell ref="Q561:Q562"/>
    <mergeCell ref="Q563:Q572"/>
    <mergeCell ref="Q573:Q574"/>
    <mergeCell ref="Q575:Q584"/>
    <mergeCell ref="Q585:Q586"/>
    <mergeCell ref="Q587:Q606"/>
    <mergeCell ref="Q608:Q609"/>
    <mergeCell ref="R2:R3"/>
    <mergeCell ref="R4:R5"/>
    <mergeCell ref="R6:R7"/>
    <mergeCell ref="R8:R9"/>
    <mergeCell ref="R10:R21"/>
    <mergeCell ref="R22:R33"/>
    <mergeCell ref="R34:R45"/>
    <mergeCell ref="R46:R57"/>
    <mergeCell ref="R58:R69"/>
    <mergeCell ref="R70:R81"/>
    <mergeCell ref="R82:R93"/>
    <mergeCell ref="R94:R105"/>
    <mergeCell ref="R106:R117"/>
    <mergeCell ref="R118:R129"/>
    <mergeCell ref="R130:R141"/>
    <mergeCell ref="R142:R143"/>
    <mergeCell ref="R144:R149"/>
    <mergeCell ref="R150:R161"/>
    <mergeCell ref="R162:R165"/>
    <mergeCell ref="R166:R171"/>
    <mergeCell ref="R172:R177"/>
    <mergeCell ref="R178:R183"/>
    <mergeCell ref="R184:R185"/>
    <mergeCell ref="R186:R191"/>
    <mergeCell ref="R192:R194"/>
    <mergeCell ref="R195:R206"/>
    <mergeCell ref="R207:R218"/>
    <mergeCell ref="R219:R230"/>
    <mergeCell ref="R231:R242"/>
    <mergeCell ref="R243:R254"/>
    <mergeCell ref="R255:R266"/>
    <mergeCell ref="R267:R278"/>
    <mergeCell ref="R279:R290"/>
    <mergeCell ref="R291:R302"/>
    <mergeCell ref="R303:R314"/>
    <mergeCell ref="R315:R322"/>
    <mergeCell ref="R323:R334"/>
    <mergeCell ref="R335:R346"/>
    <mergeCell ref="R347:R352"/>
    <mergeCell ref="R353:R354"/>
    <mergeCell ref="R355:R356"/>
    <mergeCell ref="R357:R358"/>
    <mergeCell ref="R359:R360"/>
    <mergeCell ref="R363:R368"/>
    <mergeCell ref="R371:R380"/>
    <mergeCell ref="R383:R392"/>
    <mergeCell ref="R395:R404"/>
    <mergeCell ref="R407:R416"/>
    <mergeCell ref="R419:R428"/>
    <mergeCell ref="R431:R440"/>
    <mergeCell ref="R443:R452"/>
    <mergeCell ref="R455:R464"/>
    <mergeCell ref="R467:R476"/>
    <mergeCell ref="R479:R488"/>
    <mergeCell ref="R491:R500"/>
    <mergeCell ref="R503:R512"/>
    <mergeCell ref="R515:R524"/>
    <mergeCell ref="R527:R536"/>
    <mergeCell ref="R539:R548"/>
    <mergeCell ref="R551:R560"/>
    <mergeCell ref="R563:R572"/>
    <mergeCell ref="R575:R584"/>
    <mergeCell ref="R587:R596"/>
    <mergeCell ref="R597:R606"/>
    <mergeCell ref="R608:R609"/>
  </mergeCells>
  <conditionalFormatting sqref="Y1">
    <cfRule type="duplicateValues" dxfId="0" priority="6"/>
    <cfRule type="duplicateValues" dxfId="0" priority="5"/>
    <cfRule type="duplicateValues" dxfId="0" priority="4"/>
  </conditionalFormatting>
  <conditionalFormatting sqref="Y2:Y609">
    <cfRule type="duplicateValues" dxfId="0" priority="3"/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E1" sqref="E1"/>
    </sheetView>
  </sheetViews>
  <sheetFormatPr defaultColWidth="9.23076923076923" defaultRowHeight="16.8" outlineLevelRow="6"/>
  <cols>
    <col min="1" max="1" width="27.4038461538462" customWidth="1"/>
    <col min="2" max="2" width="10.8942307692308" customWidth="1"/>
    <col min="3" max="3" width="17.1442307692308" customWidth="1"/>
    <col min="4" max="4" width="12.0192307692308" customWidth="1"/>
    <col min="5" max="5" width="23.3942307692308" customWidth="1"/>
    <col min="6" max="6" width="20.3461538461538" customWidth="1"/>
    <col min="7" max="7" width="14.5769230769231" customWidth="1"/>
    <col min="8" max="8" width="21.4711538461538" customWidth="1"/>
  </cols>
  <sheetData>
    <row r="1" ht="28" spans="1:8">
      <c r="A1" s="48" t="s">
        <v>775</v>
      </c>
      <c r="B1" s="48" t="s">
        <v>7</v>
      </c>
      <c r="C1" s="48" t="s">
        <v>12</v>
      </c>
      <c r="D1" s="49" t="s">
        <v>13</v>
      </c>
      <c r="E1" s="48" t="s">
        <v>776</v>
      </c>
      <c r="F1" s="48" t="s">
        <v>16</v>
      </c>
      <c r="G1" s="48" t="s">
        <v>17</v>
      </c>
      <c r="H1" s="53" t="s">
        <v>18</v>
      </c>
    </row>
    <row r="2" ht="28" spans="1:9">
      <c r="A2" s="25" t="s">
        <v>777</v>
      </c>
      <c r="B2" s="50">
        <v>260113</v>
      </c>
      <c r="C2" s="51" t="s">
        <v>31</v>
      </c>
      <c r="D2" s="52">
        <v>143</v>
      </c>
      <c r="E2" s="51" t="s">
        <v>778</v>
      </c>
      <c r="F2" s="51" t="s">
        <v>35</v>
      </c>
      <c r="G2" s="54"/>
      <c r="H2" s="55"/>
      <c r="I2" s="38"/>
    </row>
    <row r="3" ht="28" spans="1:9">
      <c r="A3" s="25" t="s">
        <v>777</v>
      </c>
      <c r="B3" s="50">
        <v>260113</v>
      </c>
      <c r="C3" s="51" t="s">
        <v>36</v>
      </c>
      <c r="D3" s="52">
        <v>278</v>
      </c>
      <c r="E3" s="51" t="s">
        <v>779</v>
      </c>
      <c r="F3" s="51" t="s">
        <v>39</v>
      </c>
      <c r="G3" s="54"/>
      <c r="H3" s="55"/>
      <c r="I3" s="38"/>
    </row>
    <row r="4" ht="28" spans="1:9">
      <c r="A4" s="25" t="s">
        <v>777</v>
      </c>
      <c r="B4" s="50">
        <v>260114</v>
      </c>
      <c r="C4" s="51" t="s">
        <v>31</v>
      </c>
      <c r="D4" s="52">
        <v>144</v>
      </c>
      <c r="E4" s="51" t="s">
        <v>780</v>
      </c>
      <c r="F4" s="51" t="s">
        <v>35</v>
      </c>
      <c r="G4" s="54"/>
      <c r="H4" s="55"/>
      <c r="I4" s="38"/>
    </row>
    <row r="5" ht="28" spans="1:9">
      <c r="A5" s="25" t="s">
        <v>777</v>
      </c>
      <c r="B5" s="50">
        <v>260114</v>
      </c>
      <c r="C5" s="51" t="s">
        <v>36</v>
      </c>
      <c r="D5" s="52">
        <v>280</v>
      </c>
      <c r="E5" s="51" t="s">
        <v>781</v>
      </c>
      <c r="F5" s="51" t="s">
        <v>39</v>
      </c>
      <c r="G5" s="54"/>
      <c r="H5" s="55"/>
      <c r="I5" s="38"/>
    </row>
    <row r="6" ht="28" spans="1:9">
      <c r="A6" s="25" t="s">
        <v>777</v>
      </c>
      <c r="B6" s="50">
        <v>260115</v>
      </c>
      <c r="C6" s="51" t="s">
        <v>31</v>
      </c>
      <c r="D6" s="52">
        <v>145</v>
      </c>
      <c r="E6" s="51" t="s">
        <v>782</v>
      </c>
      <c r="F6" s="51" t="s">
        <v>35</v>
      </c>
      <c r="G6" s="54"/>
      <c r="H6" s="55"/>
      <c r="I6" s="38"/>
    </row>
    <row r="7" ht="28" spans="1:9">
      <c r="A7" s="25" t="s">
        <v>777</v>
      </c>
      <c r="B7" s="50">
        <v>260115</v>
      </c>
      <c r="C7" s="51" t="s">
        <v>36</v>
      </c>
      <c r="D7" s="52">
        <v>282</v>
      </c>
      <c r="E7" s="51" t="s">
        <v>783</v>
      </c>
      <c r="F7" s="51" t="s">
        <v>39</v>
      </c>
      <c r="G7" s="54"/>
      <c r="H7" s="55"/>
      <c r="I7" s="38"/>
    </row>
  </sheetData>
  <conditionalFormatting sqref="E1">
    <cfRule type="duplicateValues" dxfId="0" priority="4"/>
    <cfRule type="duplicateValues" dxfId="0" priority="5"/>
    <cfRule type="duplicateValues" dxfId="0" priority="6"/>
  </conditionalFormatting>
  <conditionalFormatting sqref="E2:E7">
    <cfRule type="duplicateValues" dxfId="0" priority="1"/>
    <cfRule type="duplicateValues" dxfId="0" priority="2"/>
    <cfRule type="duplicateValues" dxfId="0" priority="3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2"/>
  <sheetViews>
    <sheetView zoomScale="145" zoomScaleNormal="145" topLeftCell="I1" workbookViewId="0">
      <pane ySplit="1" topLeftCell="A2" activePane="bottomLeft" state="frozen"/>
      <selection/>
      <selection pane="bottomLeft" activeCell="A2" sqref="A2"/>
    </sheetView>
  </sheetViews>
  <sheetFormatPr defaultColWidth="9" defaultRowHeight="13.6"/>
  <cols>
    <col min="1" max="1" width="36.9038461538462" style="38" customWidth="1"/>
    <col min="2" max="2" width="9" style="38"/>
    <col min="3" max="4" width="14.125" style="38" customWidth="1"/>
    <col min="5" max="5" width="9" style="38"/>
    <col min="6" max="6" width="20.4423076923077" style="38" customWidth="1"/>
    <col min="7" max="7" width="28.3076923076923" style="38" customWidth="1"/>
    <col min="8" max="8" width="9" style="39"/>
    <col min="9" max="11" width="9" style="38"/>
    <col min="12" max="12" width="10.0865384615385" style="38" customWidth="1"/>
    <col min="13" max="13" width="25.625" style="38" customWidth="1"/>
    <col min="14" max="17" width="9" style="38"/>
    <col min="18" max="18" width="14.625" style="38" customWidth="1"/>
    <col min="19" max="22" width="9" style="38"/>
    <col min="23" max="23" width="16.75" style="38" customWidth="1"/>
    <col min="24" max="16384" width="9" style="38"/>
  </cols>
  <sheetData>
    <row r="1" s="37" customFormat="1" ht="36" customHeight="1" spans="1:23">
      <c r="A1" s="40" t="s">
        <v>784</v>
      </c>
      <c r="B1" s="40" t="s">
        <v>785</v>
      </c>
      <c r="C1" s="40" t="s">
        <v>786</v>
      </c>
      <c r="D1" s="41" t="s">
        <v>787</v>
      </c>
      <c r="E1" s="40" t="s">
        <v>788</v>
      </c>
      <c r="F1" s="40" t="s">
        <v>789</v>
      </c>
      <c r="G1" s="40" t="s">
        <v>790</v>
      </c>
      <c r="H1" s="44" t="s">
        <v>791</v>
      </c>
      <c r="I1" s="27" t="s">
        <v>792</v>
      </c>
      <c r="J1" s="46" t="s">
        <v>793</v>
      </c>
      <c r="K1" s="46" t="s">
        <v>794</v>
      </c>
      <c r="L1" s="27" t="s">
        <v>795</v>
      </c>
      <c r="M1" s="27" t="s">
        <v>796</v>
      </c>
      <c r="N1" s="28" t="s">
        <v>797</v>
      </c>
      <c r="O1" s="29" t="s">
        <v>798</v>
      </c>
      <c r="P1" s="29" t="s">
        <v>799</v>
      </c>
      <c r="Q1" s="29" t="s">
        <v>800</v>
      </c>
      <c r="R1" s="29" t="s">
        <v>801</v>
      </c>
      <c r="S1" s="29" t="s">
        <v>802</v>
      </c>
      <c r="T1" s="29" t="s">
        <v>803</v>
      </c>
      <c r="U1" s="29" t="s">
        <v>804</v>
      </c>
      <c r="V1" s="27" t="s">
        <v>805</v>
      </c>
      <c r="W1" s="27" t="s">
        <v>806</v>
      </c>
    </row>
    <row r="2" ht="16.8" spans="1:23">
      <c r="A2" s="26" t="s">
        <v>778</v>
      </c>
      <c r="B2" s="26" t="s">
        <v>807</v>
      </c>
      <c r="C2" s="42" t="s">
        <v>49</v>
      </c>
      <c r="D2" s="43" t="s">
        <v>808</v>
      </c>
      <c r="E2" s="26"/>
      <c r="F2" t="s">
        <v>809</v>
      </c>
      <c r="G2" s="26" t="s">
        <v>810</v>
      </c>
      <c r="H2" s="45" t="s">
        <v>811</v>
      </c>
      <c r="I2" s="26"/>
      <c r="J2" s="26"/>
      <c r="K2" s="26"/>
      <c r="L2" s="47"/>
      <c r="M2" s="26" t="s">
        <v>812</v>
      </c>
      <c r="N2" s="26"/>
      <c r="O2" s="26"/>
      <c r="P2" s="26"/>
      <c r="Q2" s="26"/>
      <c r="R2" s="26"/>
      <c r="S2" s="26"/>
      <c r="T2" s="26"/>
      <c r="U2" s="26"/>
      <c r="V2" s="30"/>
      <c r="W2" s="26"/>
    </row>
    <row r="3" ht="16.8" spans="1:23">
      <c r="A3" s="26" t="s">
        <v>778</v>
      </c>
      <c r="B3" s="26" t="s">
        <v>807</v>
      </c>
      <c r="C3" s="42" t="s">
        <v>49</v>
      </c>
      <c r="D3" s="43" t="s">
        <v>808</v>
      </c>
      <c r="E3" s="26"/>
      <c r="F3" t="s">
        <v>813</v>
      </c>
      <c r="G3" s="26" t="s">
        <v>814</v>
      </c>
      <c r="H3" s="45" t="s">
        <v>815</v>
      </c>
      <c r="I3" s="26"/>
      <c r="J3" s="26"/>
      <c r="K3" s="26"/>
      <c r="L3" s="47"/>
      <c r="M3" s="26" t="s">
        <v>816</v>
      </c>
      <c r="N3" s="26"/>
      <c r="O3" s="26"/>
      <c r="P3" s="26"/>
      <c r="Q3" s="26"/>
      <c r="R3" s="26"/>
      <c r="S3" s="26"/>
      <c r="T3" s="26"/>
      <c r="U3" s="26"/>
      <c r="V3" s="30"/>
      <c r="W3" s="26"/>
    </row>
    <row r="4" ht="16.8" spans="1:23">
      <c r="A4" s="26" t="s">
        <v>778</v>
      </c>
      <c r="B4" s="26" t="s">
        <v>807</v>
      </c>
      <c r="C4" s="42" t="s">
        <v>49</v>
      </c>
      <c r="D4" s="43" t="s">
        <v>808</v>
      </c>
      <c r="E4" s="26"/>
      <c r="F4" t="s">
        <v>817</v>
      </c>
      <c r="G4" s="26" t="s">
        <v>818</v>
      </c>
      <c r="H4" s="45" t="s">
        <v>819</v>
      </c>
      <c r="I4" s="26"/>
      <c r="J4" s="26"/>
      <c r="K4" s="26"/>
      <c r="L4" s="47"/>
      <c r="M4" s="26" t="s">
        <v>820</v>
      </c>
      <c r="N4" s="26"/>
      <c r="O4" s="26"/>
      <c r="P4" s="26"/>
      <c r="Q4" s="26"/>
      <c r="R4" s="26"/>
      <c r="S4" s="26"/>
      <c r="T4" s="26"/>
      <c r="U4" s="26"/>
      <c r="V4" s="30"/>
      <c r="W4" s="26"/>
    </row>
    <row r="5" ht="16.8" spans="1:23">
      <c r="A5" s="26" t="s">
        <v>778</v>
      </c>
      <c r="B5" s="26" t="s">
        <v>807</v>
      </c>
      <c r="C5" s="42" t="s">
        <v>49</v>
      </c>
      <c r="D5" s="43" t="s">
        <v>808</v>
      </c>
      <c r="E5" s="26"/>
      <c r="F5" t="s">
        <v>821</v>
      </c>
      <c r="G5" s="26" t="s">
        <v>822</v>
      </c>
      <c r="H5" s="45" t="s">
        <v>823</v>
      </c>
      <c r="I5" s="26"/>
      <c r="J5" s="26"/>
      <c r="K5" s="26"/>
      <c r="L5" s="47"/>
      <c r="M5" s="26" t="s">
        <v>824</v>
      </c>
      <c r="N5" s="26"/>
      <c r="O5" s="26"/>
      <c r="P5" s="26"/>
      <c r="Q5" s="26"/>
      <c r="R5" s="26"/>
      <c r="S5" s="26"/>
      <c r="T5" s="26"/>
      <c r="U5" s="26"/>
      <c r="V5" s="30"/>
      <c r="W5" s="26"/>
    </row>
    <row r="6" ht="16.8" spans="1:23">
      <c r="A6" s="26" t="s">
        <v>778</v>
      </c>
      <c r="B6" s="26" t="s">
        <v>807</v>
      </c>
      <c r="C6" s="42" t="s">
        <v>49</v>
      </c>
      <c r="D6" s="43" t="s">
        <v>808</v>
      </c>
      <c r="E6" s="26"/>
      <c r="F6" t="s">
        <v>825</v>
      </c>
      <c r="G6" s="26" t="s">
        <v>826</v>
      </c>
      <c r="H6" s="45" t="s">
        <v>827</v>
      </c>
      <c r="I6" s="26"/>
      <c r="J6" s="26"/>
      <c r="K6" s="26"/>
      <c r="L6" s="47"/>
      <c r="M6" s="26" t="s">
        <v>828</v>
      </c>
      <c r="N6" s="26"/>
      <c r="O6" s="26"/>
      <c r="P6" s="26"/>
      <c r="Q6" s="26"/>
      <c r="R6" s="26"/>
      <c r="S6" s="26"/>
      <c r="T6" s="26"/>
      <c r="U6" s="26"/>
      <c r="V6" s="30"/>
      <c r="W6" s="26"/>
    </row>
    <row r="7" ht="16.8" spans="1:23">
      <c r="A7" s="26" t="s">
        <v>778</v>
      </c>
      <c r="B7" s="26" t="s">
        <v>807</v>
      </c>
      <c r="C7" s="42" t="s">
        <v>49</v>
      </c>
      <c r="D7" s="43" t="s">
        <v>808</v>
      </c>
      <c r="E7" s="26"/>
      <c r="F7" t="s">
        <v>829</v>
      </c>
      <c r="G7" s="26" t="s">
        <v>830</v>
      </c>
      <c r="H7" s="45" t="s">
        <v>831</v>
      </c>
      <c r="I7" s="26"/>
      <c r="J7" s="26"/>
      <c r="K7" s="26"/>
      <c r="L7" s="47"/>
      <c r="M7" s="26" t="s">
        <v>812</v>
      </c>
      <c r="N7" s="26"/>
      <c r="O7" s="26"/>
      <c r="P7" s="26"/>
      <c r="Q7" s="26"/>
      <c r="R7" s="26"/>
      <c r="S7" s="26"/>
      <c r="T7" s="26"/>
      <c r="U7" s="26"/>
      <c r="V7" s="30"/>
      <c r="W7" s="26"/>
    </row>
    <row r="8" ht="16.8" spans="1:23">
      <c r="A8" s="26" t="s">
        <v>778</v>
      </c>
      <c r="B8" s="26" t="s">
        <v>807</v>
      </c>
      <c r="C8" s="42" t="s">
        <v>49</v>
      </c>
      <c r="D8" s="43" t="s">
        <v>808</v>
      </c>
      <c r="E8" s="26"/>
      <c r="F8" t="s">
        <v>832</v>
      </c>
      <c r="G8" s="26" t="s">
        <v>833</v>
      </c>
      <c r="H8" s="45" t="s">
        <v>834</v>
      </c>
      <c r="I8" s="26"/>
      <c r="J8" s="26"/>
      <c r="K8" s="26"/>
      <c r="L8" s="47"/>
      <c r="M8" s="26" t="s">
        <v>816</v>
      </c>
      <c r="N8" s="26"/>
      <c r="O8" s="26"/>
      <c r="P8" s="26"/>
      <c r="Q8" s="26"/>
      <c r="R8" s="26"/>
      <c r="S8" s="26"/>
      <c r="T8" s="26"/>
      <c r="U8" s="26"/>
      <c r="V8" s="30"/>
      <c r="W8" s="26"/>
    </row>
    <row r="9" ht="16.8" spans="1:23">
      <c r="A9" s="26" t="s">
        <v>778</v>
      </c>
      <c r="B9" s="26" t="s">
        <v>807</v>
      </c>
      <c r="C9" s="42" t="s">
        <v>49</v>
      </c>
      <c r="D9" s="43" t="s">
        <v>808</v>
      </c>
      <c r="E9" s="26"/>
      <c r="F9" t="s">
        <v>835</v>
      </c>
      <c r="G9" s="26" t="s">
        <v>836</v>
      </c>
      <c r="H9" s="45" t="s">
        <v>837</v>
      </c>
      <c r="I9" s="26"/>
      <c r="J9" s="26"/>
      <c r="K9" s="26"/>
      <c r="L9" s="47"/>
      <c r="M9" s="26" t="s">
        <v>820</v>
      </c>
      <c r="N9" s="26"/>
      <c r="O9" s="26"/>
      <c r="P9" s="26"/>
      <c r="Q9" s="26"/>
      <c r="R9" s="26"/>
      <c r="S9" s="26"/>
      <c r="T9" s="26"/>
      <c r="U9" s="26"/>
      <c r="V9" s="30"/>
      <c r="W9" s="26"/>
    </row>
    <row r="10" ht="16.8" spans="1:23">
      <c r="A10" s="26" t="s">
        <v>778</v>
      </c>
      <c r="B10" s="26" t="s">
        <v>807</v>
      </c>
      <c r="C10" s="42" t="s">
        <v>49</v>
      </c>
      <c r="D10" s="43" t="s">
        <v>808</v>
      </c>
      <c r="E10" s="26"/>
      <c r="F10" t="s">
        <v>838</v>
      </c>
      <c r="G10" s="26" t="s">
        <v>839</v>
      </c>
      <c r="H10" s="45" t="s">
        <v>840</v>
      </c>
      <c r="I10" s="26"/>
      <c r="J10" s="26"/>
      <c r="K10" s="26"/>
      <c r="L10" s="47"/>
      <c r="M10" s="26" t="s">
        <v>824</v>
      </c>
      <c r="N10" s="26"/>
      <c r="O10" s="26"/>
      <c r="P10" s="26"/>
      <c r="Q10" s="26"/>
      <c r="R10" s="26"/>
      <c r="S10" s="26"/>
      <c r="T10" s="26"/>
      <c r="U10" s="26"/>
      <c r="V10" s="30"/>
      <c r="W10" s="26"/>
    </row>
    <row r="11" ht="16.8" spans="1:23">
      <c r="A11" s="26" t="s">
        <v>778</v>
      </c>
      <c r="B11" s="26" t="s">
        <v>807</v>
      </c>
      <c r="C11" s="42" t="s">
        <v>49</v>
      </c>
      <c r="D11" s="43" t="s">
        <v>808</v>
      </c>
      <c r="E11" s="26"/>
      <c r="F11" t="s">
        <v>841</v>
      </c>
      <c r="G11" s="26" t="s">
        <v>842</v>
      </c>
      <c r="H11" s="45" t="s">
        <v>843</v>
      </c>
      <c r="I11" s="26"/>
      <c r="J11" s="26"/>
      <c r="K11" s="26"/>
      <c r="L11" s="47"/>
      <c r="M11" s="26" t="s">
        <v>828</v>
      </c>
      <c r="N11" s="26"/>
      <c r="O11" s="26"/>
      <c r="P11" s="26"/>
      <c r="Q11" s="26"/>
      <c r="R11" s="26"/>
      <c r="S11" s="26"/>
      <c r="T11" s="26"/>
      <c r="U11" s="26"/>
      <c r="V11" s="30"/>
      <c r="W11" s="26"/>
    </row>
    <row r="12" ht="16.8" spans="1:23">
      <c r="A12" s="26" t="s">
        <v>778</v>
      </c>
      <c r="B12" s="26" t="s">
        <v>807</v>
      </c>
      <c r="C12" s="42" t="s">
        <v>49</v>
      </c>
      <c r="D12" s="43" t="s">
        <v>808</v>
      </c>
      <c r="E12" s="26"/>
      <c r="F12" t="s">
        <v>844</v>
      </c>
      <c r="G12" s="26" t="s">
        <v>845</v>
      </c>
      <c r="H12" s="45" t="s">
        <v>846</v>
      </c>
      <c r="I12" s="26"/>
      <c r="J12" s="26"/>
      <c r="K12" s="26"/>
      <c r="L12" s="47"/>
      <c r="M12" s="26" t="s">
        <v>812</v>
      </c>
      <c r="N12" s="26"/>
      <c r="O12" s="26"/>
      <c r="P12" s="26"/>
      <c r="Q12" s="26"/>
      <c r="R12" s="26"/>
      <c r="S12" s="26"/>
      <c r="T12" s="26"/>
      <c r="U12" s="26"/>
      <c r="V12" s="30"/>
      <c r="W12" s="26"/>
    </row>
    <row r="13" ht="16.8" spans="1:23">
      <c r="A13" s="26" t="s">
        <v>778</v>
      </c>
      <c r="B13" s="26" t="s">
        <v>807</v>
      </c>
      <c r="C13" s="42" t="s">
        <v>49</v>
      </c>
      <c r="D13" s="43" t="s">
        <v>808</v>
      </c>
      <c r="E13" s="26"/>
      <c r="F13" t="s">
        <v>847</v>
      </c>
      <c r="G13" s="26" t="s">
        <v>848</v>
      </c>
      <c r="H13" s="45" t="s">
        <v>849</v>
      </c>
      <c r="I13" s="26"/>
      <c r="J13" s="26"/>
      <c r="K13" s="26"/>
      <c r="L13" s="47"/>
      <c r="M13" s="26" t="s">
        <v>816</v>
      </c>
      <c r="N13" s="26"/>
      <c r="O13" s="26"/>
      <c r="P13" s="26"/>
      <c r="Q13" s="26"/>
      <c r="R13" s="26"/>
      <c r="S13" s="26"/>
      <c r="T13" s="26"/>
      <c r="U13" s="26"/>
      <c r="V13" s="30"/>
      <c r="W13" s="26"/>
    </row>
    <row r="14" ht="16.8" spans="1:23">
      <c r="A14" s="26" t="s">
        <v>778</v>
      </c>
      <c r="B14" s="26" t="s">
        <v>807</v>
      </c>
      <c r="C14" s="42" t="s">
        <v>49</v>
      </c>
      <c r="D14" s="43" t="s">
        <v>808</v>
      </c>
      <c r="E14" s="26"/>
      <c r="F14" t="s">
        <v>850</v>
      </c>
      <c r="G14" s="26" t="s">
        <v>851</v>
      </c>
      <c r="H14" s="45" t="s">
        <v>852</v>
      </c>
      <c r="I14" s="26"/>
      <c r="J14" s="26"/>
      <c r="K14" s="26"/>
      <c r="L14" s="47"/>
      <c r="M14" s="26" t="s">
        <v>820</v>
      </c>
      <c r="N14" s="26"/>
      <c r="O14" s="26"/>
      <c r="P14" s="26"/>
      <c r="Q14" s="26"/>
      <c r="R14" s="26"/>
      <c r="S14" s="26"/>
      <c r="T14" s="26"/>
      <c r="U14" s="26"/>
      <c r="V14" s="30"/>
      <c r="W14" s="26"/>
    </row>
    <row r="15" ht="16.8" spans="1:23">
      <c r="A15" s="26" t="s">
        <v>778</v>
      </c>
      <c r="B15" s="26" t="s">
        <v>807</v>
      </c>
      <c r="C15" s="42" t="s">
        <v>49</v>
      </c>
      <c r="D15" s="43" t="s">
        <v>808</v>
      </c>
      <c r="E15" s="26"/>
      <c r="F15" t="s">
        <v>853</v>
      </c>
      <c r="G15" s="26" t="s">
        <v>854</v>
      </c>
      <c r="H15" s="45" t="s">
        <v>855</v>
      </c>
      <c r="I15" s="26"/>
      <c r="J15" s="26"/>
      <c r="K15" s="26"/>
      <c r="L15" s="47"/>
      <c r="M15" s="26" t="s">
        <v>824</v>
      </c>
      <c r="N15" s="26"/>
      <c r="O15" s="26"/>
      <c r="P15" s="26"/>
      <c r="Q15" s="26"/>
      <c r="R15" s="26"/>
      <c r="S15" s="26"/>
      <c r="T15" s="26"/>
      <c r="U15" s="26"/>
      <c r="V15" s="30"/>
      <c r="W15" s="26"/>
    </row>
    <row r="16" ht="16.8" spans="1:23">
      <c r="A16" s="26" t="s">
        <v>778</v>
      </c>
      <c r="B16" s="26" t="s">
        <v>807</v>
      </c>
      <c r="C16" s="42" t="s">
        <v>49</v>
      </c>
      <c r="D16" s="43" t="s">
        <v>808</v>
      </c>
      <c r="E16" s="26"/>
      <c r="F16" t="s">
        <v>856</v>
      </c>
      <c r="G16" s="26" t="s">
        <v>857</v>
      </c>
      <c r="H16" s="45" t="s">
        <v>858</v>
      </c>
      <c r="I16" s="26"/>
      <c r="J16" s="26"/>
      <c r="K16" s="26"/>
      <c r="L16" s="47"/>
      <c r="M16" s="26" t="s">
        <v>828</v>
      </c>
      <c r="N16" s="26"/>
      <c r="O16" s="26"/>
      <c r="P16" s="26"/>
      <c r="Q16" s="26"/>
      <c r="R16" s="26"/>
      <c r="S16" s="26"/>
      <c r="T16" s="26"/>
      <c r="U16" s="26"/>
      <c r="V16" s="30"/>
      <c r="W16" s="26"/>
    </row>
    <row r="17" ht="16.8" spans="1:23">
      <c r="A17" s="26" t="s">
        <v>778</v>
      </c>
      <c r="B17" s="26" t="s">
        <v>807</v>
      </c>
      <c r="C17" s="42" t="s">
        <v>49</v>
      </c>
      <c r="D17" s="43" t="s">
        <v>808</v>
      </c>
      <c r="E17" s="26"/>
      <c r="F17" t="s">
        <v>859</v>
      </c>
      <c r="G17" s="26" t="s">
        <v>860</v>
      </c>
      <c r="H17" s="45" t="s">
        <v>861</v>
      </c>
      <c r="I17" s="26"/>
      <c r="J17" s="26"/>
      <c r="K17" s="26"/>
      <c r="L17" s="47"/>
      <c r="M17" s="26" t="s">
        <v>812</v>
      </c>
      <c r="N17" s="26"/>
      <c r="O17" s="26"/>
      <c r="P17" s="26"/>
      <c r="Q17" s="26"/>
      <c r="R17" s="26"/>
      <c r="S17" s="26"/>
      <c r="T17" s="26"/>
      <c r="U17" s="26"/>
      <c r="V17" s="30"/>
      <c r="W17" s="26"/>
    </row>
    <row r="18" ht="16.8" spans="1:23">
      <c r="A18" s="26" t="s">
        <v>778</v>
      </c>
      <c r="B18" s="26" t="s">
        <v>807</v>
      </c>
      <c r="C18" s="42" t="s">
        <v>49</v>
      </c>
      <c r="D18" s="43" t="s">
        <v>808</v>
      </c>
      <c r="E18" s="26"/>
      <c r="F18" t="s">
        <v>862</v>
      </c>
      <c r="G18" s="26" t="s">
        <v>863</v>
      </c>
      <c r="H18" s="45" t="s">
        <v>864</v>
      </c>
      <c r="I18" s="26"/>
      <c r="J18" s="26"/>
      <c r="K18" s="26"/>
      <c r="L18" s="47"/>
      <c r="M18" s="26" t="s">
        <v>816</v>
      </c>
      <c r="N18" s="26"/>
      <c r="O18" s="26"/>
      <c r="P18" s="26"/>
      <c r="Q18" s="26"/>
      <c r="R18" s="26"/>
      <c r="S18" s="26"/>
      <c r="T18" s="26"/>
      <c r="U18" s="26"/>
      <c r="V18" s="30"/>
      <c r="W18" s="26"/>
    </row>
    <row r="19" ht="16.8" spans="1:23">
      <c r="A19" s="26" t="s">
        <v>778</v>
      </c>
      <c r="B19" s="26" t="s">
        <v>807</v>
      </c>
      <c r="C19" s="42" t="s">
        <v>49</v>
      </c>
      <c r="D19" s="43" t="s">
        <v>808</v>
      </c>
      <c r="E19" s="26"/>
      <c r="F19" t="s">
        <v>865</v>
      </c>
      <c r="G19" s="26" t="s">
        <v>866</v>
      </c>
      <c r="H19" s="45" t="s">
        <v>867</v>
      </c>
      <c r="I19" s="26"/>
      <c r="J19" s="26"/>
      <c r="K19" s="26"/>
      <c r="L19" s="47"/>
      <c r="M19" s="26" t="s">
        <v>820</v>
      </c>
      <c r="N19" s="26"/>
      <c r="O19" s="26"/>
      <c r="P19" s="26"/>
      <c r="Q19" s="26"/>
      <c r="R19" s="26"/>
      <c r="S19" s="26"/>
      <c r="T19" s="26"/>
      <c r="U19" s="26"/>
      <c r="V19" s="30"/>
      <c r="W19" s="26"/>
    </row>
    <row r="20" ht="16.8" spans="1:23">
      <c r="A20" s="26" t="s">
        <v>778</v>
      </c>
      <c r="B20" s="26" t="s">
        <v>807</v>
      </c>
      <c r="C20" s="42" t="s">
        <v>49</v>
      </c>
      <c r="D20" s="43" t="s">
        <v>808</v>
      </c>
      <c r="E20" s="26"/>
      <c r="F20" t="s">
        <v>868</v>
      </c>
      <c r="G20" s="26" t="s">
        <v>869</v>
      </c>
      <c r="H20" s="45" t="s">
        <v>870</v>
      </c>
      <c r="I20" s="26"/>
      <c r="J20" s="26"/>
      <c r="K20" s="26"/>
      <c r="L20" s="47"/>
      <c r="M20" s="26" t="s">
        <v>824</v>
      </c>
      <c r="N20" s="26"/>
      <c r="O20" s="26"/>
      <c r="P20" s="26"/>
      <c r="Q20" s="26"/>
      <c r="R20" s="26"/>
      <c r="S20" s="26"/>
      <c r="T20" s="26"/>
      <c r="U20" s="26"/>
      <c r="V20" s="30"/>
      <c r="W20" s="26"/>
    </row>
    <row r="21" ht="16.8" spans="1:23">
      <c r="A21" s="26" t="s">
        <v>778</v>
      </c>
      <c r="B21" s="26" t="s">
        <v>807</v>
      </c>
      <c r="C21" s="42" t="s">
        <v>49</v>
      </c>
      <c r="D21" s="43" t="s">
        <v>808</v>
      </c>
      <c r="E21" s="26"/>
      <c r="F21" t="s">
        <v>871</v>
      </c>
      <c r="G21" s="26" t="s">
        <v>872</v>
      </c>
      <c r="H21" s="45" t="s">
        <v>873</v>
      </c>
      <c r="I21" s="26"/>
      <c r="J21" s="26"/>
      <c r="K21" s="26"/>
      <c r="L21" s="47"/>
      <c r="M21" s="26" t="s">
        <v>828</v>
      </c>
      <c r="N21" s="26"/>
      <c r="O21" s="26"/>
      <c r="P21" s="26"/>
      <c r="Q21" s="26"/>
      <c r="R21" s="26"/>
      <c r="S21" s="26"/>
      <c r="T21" s="26"/>
      <c r="U21" s="26"/>
      <c r="V21" s="30"/>
      <c r="W21" s="26"/>
    </row>
    <row r="22" ht="16.8" spans="1:23">
      <c r="A22" s="26" t="s">
        <v>778</v>
      </c>
      <c r="B22" s="26" t="s">
        <v>807</v>
      </c>
      <c r="C22" s="42" t="s">
        <v>49</v>
      </c>
      <c r="D22" s="43" t="s">
        <v>808</v>
      </c>
      <c r="E22" s="26"/>
      <c r="F22" t="s">
        <v>874</v>
      </c>
      <c r="G22" s="26" t="s">
        <v>875</v>
      </c>
      <c r="H22" s="45" t="s">
        <v>876</v>
      </c>
      <c r="I22" s="26"/>
      <c r="J22" s="26"/>
      <c r="K22" s="26"/>
      <c r="L22" s="47"/>
      <c r="M22" s="26" t="s">
        <v>812</v>
      </c>
      <c r="N22" s="26"/>
      <c r="O22" s="26"/>
      <c r="P22" s="26"/>
      <c r="Q22" s="26"/>
      <c r="R22" s="26"/>
      <c r="S22" s="26"/>
      <c r="T22" s="26"/>
      <c r="U22" s="26"/>
      <c r="V22" s="30"/>
      <c r="W22" s="26"/>
    </row>
    <row r="23" ht="16.8" spans="1:23">
      <c r="A23" s="26" t="s">
        <v>778</v>
      </c>
      <c r="B23" s="26" t="s">
        <v>807</v>
      </c>
      <c r="C23" s="42" t="s">
        <v>49</v>
      </c>
      <c r="D23" s="43" t="s">
        <v>808</v>
      </c>
      <c r="E23" s="26"/>
      <c r="F23" t="s">
        <v>877</v>
      </c>
      <c r="G23" s="26" t="s">
        <v>878</v>
      </c>
      <c r="H23" s="45" t="s">
        <v>879</v>
      </c>
      <c r="I23" s="26"/>
      <c r="J23" s="26"/>
      <c r="K23" s="26"/>
      <c r="L23" s="47"/>
      <c r="M23" s="26" t="s">
        <v>816</v>
      </c>
      <c r="N23" s="26"/>
      <c r="O23" s="26"/>
      <c r="P23" s="26"/>
      <c r="Q23" s="26"/>
      <c r="R23" s="26"/>
      <c r="S23" s="26"/>
      <c r="T23" s="26"/>
      <c r="U23" s="26"/>
      <c r="V23" s="30"/>
      <c r="W23" s="26"/>
    </row>
    <row r="24" ht="16.8" spans="1:23">
      <c r="A24" s="26" t="s">
        <v>778</v>
      </c>
      <c r="B24" s="26" t="s">
        <v>807</v>
      </c>
      <c r="C24" s="42" t="s">
        <v>49</v>
      </c>
      <c r="D24" s="43" t="s">
        <v>808</v>
      </c>
      <c r="E24" s="26"/>
      <c r="F24" t="s">
        <v>880</v>
      </c>
      <c r="G24" s="26" t="s">
        <v>881</v>
      </c>
      <c r="H24" s="45" t="s">
        <v>882</v>
      </c>
      <c r="I24" s="26"/>
      <c r="J24" s="26"/>
      <c r="K24" s="26"/>
      <c r="L24" s="47"/>
      <c r="M24" s="26" t="s">
        <v>820</v>
      </c>
      <c r="N24" s="26"/>
      <c r="O24" s="26"/>
      <c r="P24" s="26"/>
      <c r="Q24" s="26"/>
      <c r="R24" s="26"/>
      <c r="S24" s="26"/>
      <c r="T24" s="26"/>
      <c r="U24" s="26"/>
      <c r="V24" s="30"/>
      <c r="W24" s="26"/>
    </row>
    <row r="25" ht="16.8" spans="1:23">
      <c r="A25" s="26" t="s">
        <v>778</v>
      </c>
      <c r="B25" s="26" t="s">
        <v>807</v>
      </c>
      <c r="C25" s="42" t="s">
        <v>49</v>
      </c>
      <c r="D25" s="43" t="s">
        <v>808</v>
      </c>
      <c r="E25" s="26"/>
      <c r="F25" t="s">
        <v>883</v>
      </c>
      <c r="G25" s="26" t="s">
        <v>884</v>
      </c>
      <c r="H25" s="45" t="s">
        <v>885</v>
      </c>
      <c r="I25" s="26"/>
      <c r="J25" s="26"/>
      <c r="K25" s="26"/>
      <c r="L25" s="47"/>
      <c r="M25" s="26" t="s">
        <v>824</v>
      </c>
      <c r="N25" s="26"/>
      <c r="O25" s="26"/>
      <c r="P25" s="26"/>
      <c r="Q25" s="26"/>
      <c r="R25" s="26"/>
      <c r="S25" s="26"/>
      <c r="T25" s="26"/>
      <c r="U25" s="26"/>
      <c r="V25" s="30"/>
      <c r="W25" s="26"/>
    </row>
    <row r="26" ht="16.8" spans="1:23">
      <c r="A26" s="26" t="s">
        <v>778</v>
      </c>
      <c r="B26" s="26" t="s">
        <v>807</v>
      </c>
      <c r="C26" s="42" t="s">
        <v>49</v>
      </c>
      <c r="D26" s="43" t="s">
        <v>808</v>
      </c>
      <c r="E26" s="26"/>
      <c r="F26" t="s">
        <v>886</v>
      </c>
      <c r="G26" s="26" t="s">
        <v>887</v>
      </c>
      <c r="H26" s="45" t="s">
        <v>888</v>
      </c>
      <c r="I26" s="26"/>
      <c r="J26" s="26"/>
      <c r="K26" s="26"/>
      <c r="L26" s="47"/>
      <c r="M26" s="26" t="s">
        <v>828</v>
      </c>
      <c r="N26" s="26"/>
      <c r="O26" s="26"/>
      <c r="P26" s="26"/>
      <c r="Q26" s="26"/>
      <c r="R26" s="26"/>
      <c r="S26" s="26"/>
      <c r="T26" s="26"/>
      <c r="U26" s="26"/>
      <c r="V26" s="30"/>
      <c r="W26" s="26"/>
    </row>
    <row r="27" ht="16.8" spans="1:23">
      <c r="A27" s="26" t="s">
        <v>778</v>
      </c>
      <c r="B27" s="26" t="s">
        <v>807</v>
      </c>
      <c r="C27" s="42" t="s">
        <v>49</v>
      </c>
      <c r="D27" s="43" t="s">
        <v>808</v>
      </c>
      <c r="E27" s="26"/>
      <c r="F27" t="s">
        <v>889</v>
      </c>
      <c r="G27" s="26" t="s">
        <v>890</v>
      </c>
      <c r="H27" s="45" t="s">
        <v>891</v>
      </c>
      <c r="I27" s="26"/>
      <c r="J27" s="26"/>
      <c r="K27" s="26"/>
      <c r="L27" s="47"/>
      <c r="M27" s="26" t="s">
        <v>812</v>
      </c>
      <c r="N27" s="26"/>
      <c r="O27" s="26"/>
      <c r="P27" s="26"/>
      <c r="Q27" s="26"/>
      <c r="R27" s="26"/>
      <c r="S27" s="26"/>
      <c r="T27" s="26"/>
      <c r="U27" s="26"/>
      <c r="V27" s="30"/>
      <c r="W27" s="26"/>
    </row>
    <row r="28" ht="16.8" spans="1:23">
      <c r="A28" s="26" t="s">
        <v>778</v>
      </c>
      <c r="B28" s="26" t="s">
        <v>807</v>
      </c>
      <c r="C28" s="42" t="s">
        <v>49</v>
      </c>
      <c r="D28" s="43" t="s">
        <v>808</v>
      </c>
      <c r="E28" s="26"/>
      <c r="F28" t="s">
        <v>892</v>
      </c>
      <c r="G28" s="26" t="s">
        <v>893</v>
      </c>
      <c r="H28" s="45" t="s">
        <v>894</v>
      </c>
      <c r="I28" s="26"/>
      <c r="J28" s="26"/>
      <c r="K28" s="26"/>
      <c r="L28" s="47"/>
      <c r="M28" s="26" t="s">
        <v>816</v>
      </c>
      <c r="N28" s="26"/>
      <c r="O28" s="26"/>
      <c r="P28" s="26"/>
      <c r="Q28" s="26"/>
      <c r="R28" s="26"/>
      <c r="S28" s="26"/>
      <c r="T28" s="26"/>
      <c r="U28" s="26"/>
      <c r="V28" s="30"/>
      <c r="W28" s="26"/>
    </row>
    <row r="29" ht="16.8" spans="1:23">
      <c r="A29" s="26" t="s">
        <v>778</v>
      </c>
      <c r="B29" s="26" t="s">
        <v>807</v>
      </c>
      <c r="C29" s="42" t="s">
        <v>49</v>
      </c>
      <c r="D29" s="43" t="s">
        <v>808</v>
      </c>
      <c r="E29" s="26"/>
      <c r="F29" t="s">
        <v>895</v>
      </c>
      <c r="G29" s="26" t="s">
        <v>896</v>
      </c>
      <c r="H29" s="45" t="s">
        <v>897</v>
      </c>
      <c r="I29" s="26"/>
      <c r="J29" s="26"/>
      <c r="K29" s="26"/>
      <c r="L29" s="47"/>
      <c r="M29" s="26" t="s">
        <v>820</v>
      </c>
      <c r="N29" s="26"/>
      <c r="O29" s="26"/>
      <c r="P29" s="26"/>
      <c r="Q29" s="26"/>
      <c r="R29" s="26"/>
      <c r="S29" s="26"/>
      <c r="T29" s="26"/>
      <c r="U29" s="26"/>
      <c r="V29" s="30"/>
      <c r="W29" s="26"/>
    </row>
    <row r="30" ht="16.8" spans="1:23">
      <c r="A30" s="26" t="s">
        <v>778</v>
      </c>
      <c r="B30" s="26" t="s">
        <v>807</v>
      </c>
      <c r="C30" s="42" t="s">
        <v>49</v>
      </c>
      <c r="D30" s="43" t="s">
        <v>808</v>
      </c>
      <c r="E30" s="26"/>
      <c r="F30" t="s">
        <v>898</v>
      </c>
      <c r="G30" s="26" t="s">
        <v>899</v>
      </c>
      <c r="H30" s="45" t="s">
        <v>900</v>
      </c>
      <c r="I30" s="26"/>
      <c r="J30" s="26"/>
      <c r="K30" s="26"/>
      <c r="L30" s="47"/>
      <c r="M30" s="26" t="s">
        <v>824</v>
      </c>
      <c r="N30" s="26"/>
      <c r="O30" s="26"/>
      <c r="P30" s="26"/>
      <c r="Q30" s="26"/>
      <c r="R30" s="26"/>
      <c r="S30" s="26"/>
      <c r="T30" s="26"/>
      <c r="U30" s="26"/>
      <c r="V30" s="30"/>
      <c r="W30" s="26"/>
    </row>
    <row r="31" ht="16.8" spans="1:23">
      <c r="A31" s="26" t="s">
        <v>778</v>
      </c>
      <c r="B31" s="26" t="s">
        <v>807</v>
      </c>
      <c r="C31" s="42" t="s">
        <v>49</v>
      </c>
      <c r="D31" s="43" t="s">
        <v>808</v>
      </c>
      <c r="E31" s="26"/>
      <c r="F31" t="s">
        <v>901</v>
      </c>
      <c r="G31" s="26" t="s">
        <v>902</v>
      </c>
      <c r="H31" s="45" t="s">
        <v>903</v>
      </c>
      <c r="I31" s="26"/>
      <c r="J31" s="26"/>
      <c r="K31" s="26"/>
      <c r="L31" s="47"/>
      <c r="M31" s="26" t="s">
        <v>828</v>
      </c>
      <c r="N31" s="26"/>
      <c r="O31" s="26"/>
      <c r="P31" s="26"/>
      <c r="Q31" s="26"/>
      <c r="R31" s="26"/>
      <c r="S31" s="26"/>
      <c r="T31" s="26"/>
      <c r="U31" s="26"/>
      <c r="V31" s="30"/>
      <c r="W31" s="26"/>
    </row>
    <row r="32" ht="14" spans="1:23">
      <c r="A32" s="26" t="s">
        <v>778</v>
      </c>
      <c r="B32" s="26" t="s">
        <v>807</v>
      </c>
      <c r="C32" s="42" t="s">
        <v>49</v>
      </c>
      <c r="D32" s="43" t="s">
        <v>808</v>
      </c>
      <c r="E32" s="26"/>
      <c r="F32" s="26" t="s">
        <v>904</v>
      </c>
      <c r="G32" s="26" t="s">
        <v>905</v>
      </c>
      <c r="H32" s="45" t="s">
        <v>906</v>
      </c>
      <c r="I32" s="26"/>
      <c r="J32" s="26"/>
      <c r="K32" s="26"/>
      <c r="L32" s="47"/>
      <c r="M32" s="31" t="s">
        <v>907</v>
      </c>
      <c r="N32" s="31"/>
      <c r="O32" s="31"/>
      <c r="P32" s="26"/>
      <c r="Q32" s="26"/>
      <c r="R32" s="36"/>
      <c r="S32" s="26"/>
      <c r="T32" s="26"/>
      <c r="U32" s="26"/>
      <c r="V32" s="30"/>
      <c r="W32" s="26"/>
    </row>
    <row r="33" ht="14" spans="1:23">
      <c r="A33" s="26" t="s">
        <v>778</v>
      </c>
      <c r="B33" s="26" t="s">
        <v>807</v>
      </c>
      <c r="C33" s="42" t="s">
        <v>49</v>
      </c>
      <c r="D33" s="43" t="s">
        <v>808</v>
      </c>
      <c r="E33" s="26"/>
      <c r="F33" s="26" t="s">
        <v>908</v>
      </c>
      <c r="G33" s="26" t="s">
        <v>909</v>
      </c>
      <c r="H33" s="45" t="s">
        <v>906</v>
      </c>
      <c r="I33" s="26"/>
      <c r="J33" s="26"/>
      <c r="K33" s="26"/>
      <c r="L33" s="47"/>
      <c r="M33" s="31" t="s">
        <v>910</v>
      </c>
      <c r="N33" s="31"/>
      <c r="O33" s="31"/>
      <c r="P33" s="26"/>
      <c r="Q33" s="26"/>
      <c r="R33" s="36"/>
      <c r="S33" s="26"/>
      <c r="T33" s="26"/>
      <c r="U33" s="26"/>
      <c r="V33" s="30"/>
      <c r="W33" s="26"/>
    </row>
    <row r="34" ht="14" spans="1:23">
      <c r="A34" s="26" t="s">
        <v>778</v>
      </c>
      <c r="B34" s="26" t="s">
        <v>807</v>
      </c>
      <c r="C34" s="42" t="s">
        <v>49</v>
      </c>
      <c r="D34" s="43" t="s">
        <v>808</v>
      </c>
      <c r="E34" s="26"/>
      <c r="F34" s="26" t="s">
        <v>911</v>
      </c>
      <c r="G34" s="26" t="s">
        <v>912</v>
      </c>
      <c r="H34" s="45" t="s">
        <v>906</v>
      </c>
      <c r="I34" s="26"/>
      <c r="J34" s="26"/>
      <c r="K34" s="26"/>
      <c r="L34" s="47"/>
      <c r="M34" s="31" t="s">
        <v>913</v>
      </c>
      <c r="N34" s="31"/>
      <c r="O34" s="31"/>
      <c r="P34" s="26"/>
      <c r="Q34" s="26"/>
      <c r="R34" s="36"/>
      <c r="S34" s="26"/>
      <c r="T34" s="26"/>
      <c r="U34" s="26"/>
      <c r="V34" s="30"/>
      <c r="W34" s="26"/>
    </row>
    <row r="35" ht="14" spans="1:23">
      <c r="A35" s="26" t="s">
        <v>778</v>
      </c>
      <c r="B35" s="26" t="s">
        <v>807</v>
      </c>
      <c r="C35" s="42" t="s">
        <v>49</v>
      </c>
      <c r="D35" s="43" t="s">
        <v>808</v>
      </c>
      <c r="E35" s="26"/>
      <c r="F35" s="26" t="s">
        <v>911</v>
      </c>
      <c r="G35" s="26" t="s">
        <v>912</v>
      </c>
      <c r="H35" s="45" t="s">
        <v>906</v>
      </c>
      <c r="I35" s="26"/>
      <c r="J35" s="26"/>
      <c r="K35" s="26"/>
      <c r="L35" s="47"/>
      <c r="M35" s="31" t="s">
        <v>914</v>
      </c>
      <c r="N35" s="31"/>
      <c r="O35" s="31"/>
      <c r="P35" s="26"/>
      <c r="Q35" s="26"/>
      <c r="R35" s="36"/>
      <c r="S35" s="26"/>
      <c r="T35" s="26"/>
      <c r="U35" s="26"/>
      <c r="V35" s="30"/>
      <c r="W35" s="26"/>
    </row>
    <row r="36" ht="14" spans="1:23">
      <c r="A36" s="26" t="s">
        <v>778</v>
      </c>
      <c r="B36" s="26" t="s">
        <v>807</v>
      </c>
      <c r="C36" s="42" t="s">
        <v>49</v>
      </c>
      <c r="D36" s="43" t="s">
        <v>808</v>
      </c>
      <c r="E36" s="26"/>
      <c r="F36" s="26" t="s">
        <v>911</v>
      </c>
      <c r="G36" s="26" t="s">
        <v>912</v>
      </c>
      <c r="H36" s="45" t="s">
        <v>906</v>
      </c>
      <c r="I36" s="26"/>
      <c r="J36" s="26"/>
      <c r="K36" s="26"/>
      <c r="L36" s="47"/>
      <c r="M36" s="31" t="s">
        <v>915</v>
      </c>
      <c r="N36" s="31"/>
      <c r="O36" s="31"/>
      <c r="P36" s="26"/>
      <c r="Q36" s="26"/>
      <c r="R36" s="36"/>
      <c r="S36" s="26"/>
      <c r="T36" s="26"/>
      <c r="U36" s="26"/>
      <c r="V36" s="30"/>
      <c r="W36" s="26"/>
    </row>
    <row r="37" ht="14" spans="1:23">
      <c r="A37" s="26" t="s">
        <v>778</v>
      </c>
      <c r="B37" s="26" t="s">
        <v>807</v>
      </c>
      <c r="C37" s="42" t="s">
        <v>49</v>
      </c>
      <c r="D37" s="43" t="s">
        <v>808</v>
      </c>
      <c r="E37" s="26"/>
      <c r="F37" s="26" t="s">
        <v>911</v>
      </c>
      <c r="G37" s="26" t="s">
        <v>912</v>
      </c>
      <c r="H37" s="45" t="s">
        <v>906</v>
      </c>
      <c r="I37" s="26"/>
      <c r="J37" s="26"/>
      <c r="K37" s="26"/>
      <c r="L37" s="47"/>
      <c r="M37" s="31" t="s">
        <v>916</v>
      </c>
      <c r="N37" s="31"/>
      <c r="O37" s="31"/>
      <c r="P37" s="26"/>
      <c r="Q37" s="26"/>
      <c r="R37" s="36"/>
      <c r="S37" s="26"/>
      <c r="T37" s="26"/>
      <c r="U37" s="26"/>
      <c r="V37" s="30"/>
      <c r="W37" s="26"/>
    </row>
    <row r="38" ht="14" spans="1:23">
      <c r="A38" s="26" t="s">
        <v>778</v>
      </c>
      <c r="B38" s="26" t="s">
        <v>807</v>
      </c>
      <c r="C38" s="42" t="s">
        <v>49</v>
      </c>
      <c r="D38" s="43" t="s">
        <v>808</v>
      </c>
      <c r="E38" s="26"/>
      <c r="F38" s="26" t="s">
        <v>911</v>
      </c>
      <c r="G38" s="26" t="s">
        <v>912</v>
      </c>
      <c r="H38" s="45" t="s">
        <v>906</v>
      </c>
      <c r="I38" s="26"/>
      <c r="J38" s="26"/>
      <c r="K38" s="26"/>
      <c r="L38" s="47"/>
      <c r="M38" s="31" t="s">
        <v>917</v>
      </c>
      <c r="N38" s="31"/>
      <c r="O38" s="31"/>
      <c r="P38" s="26"/>
      <c r="Q38" s="26"/>
      <c r="R38" s="36"/>
      <c r="S38" s="26"/>
      <c r="T38" s="26"/>
      <c r="U38" s="26"/>
      <c r="V38" s="30"/>
      <c r="W38" s="26"/>
    </row>
    <row r="39" ht="14" spans="1:23">
      <c r="A39" s="26" t="s">
        <v>778</v>
      </c>
      <c r="B39" s="26" t="s">
        <v>807</v>
      </c>
      <c r="C39" s="42" t="s">
        <v>49</v>
      </c>
      <c r="D39" s="43" t="s">
        <v>808</v>
      </c>
      <c r="E39" s="26"/>
      <c r="F39" s="26" t="s">
        <v>911</v>
      </c>
      <c r="G39" s="26" t="s">
        <v>912</v>
      </c>
      <c r="H39" s="45" t="s">
        <v>906</v>
      </c>
      <c r="I39" s="26"/>
      <c r="J39" s="26"/>
      <c r="K39" s="26"/>
      <c r="L39" s="47"/>
      <c r="M39" s="31" t="s">
        <v>918</v>
      </c>
      <c r="N39" s="31"/>
      <c r="O39" s="31"/>
      <c r="P39" s="26"/>
      <c r="Q39" s="26"/>
      <c r="R39" s="36"/>
      <c r="S39" s="26"/>
      <c r="T39" s="26"/>
      <c r="U39" s="26"/>
      <c r="V39" s="30"/>
      <c r="W39" s="26"/>
    </row>
    <row r="40" ht="14" spans="1:23">
      <c r="A40" s="26" t="s">
        <v>778</v>
      </c>
      <c r="B40" s="26" t="s">
        <v>807</v>
      </c>
      <c r="C40" s="42" t="s">
        <v>49</v>
      </c>
      <c r="D40" s="43" t="s">
        <v>808</v>
      </c>
      <c r="E40" s="26"/>
      <c r="F40" s="26" t="s">
        <v>911</v>
      </c>
      <c r="G40" s="26" t="s">
        <v>912</v>
      </c>
      <c r="H40" s="45" t="s">
        <v>906</v>
      </c>
      <c r="I40" s="26"/>
      <c r="J40" s="26"/>
      <c r="K40" s="26"/>
      <c r="L40" s="47"/>
      <c r="M40" s="31" t="s">
        <v>919</v>
      </c>
      <c r="N40" s="31"/>
      <c r="O40" s="31"/>
      <c r="P40" s="26"/>
      <c r="Q40" s="26"/>
      <c r="R40" s="36"/>
      <c r="S40" s="26"/>
      <c r="T40" s="26"/>
      <c r="U40" s="26"/>
      <c r="V40" s="30"/>
      <c r="W40" s="26"/>
    </row>
    <row r="41" ht="14" spans="1:23">
      <c r="A41" s="26" t="s">
        <v>778</v>
      </c>
      <c r="B41" s="26" t="s">
        <v>807</v>
      </c>
      <c r="C41" s="42" t="s">
        <v>49</v>
      </c>
      <c r="D41" s="43" t="s">
        <v>808</v>
      </c>
      <c r="E41" s="26"/>
      <c r="F41" s="26" t="s">
        <v>911</v>
      </c>
      <c r="G41" s="26" t="s">
        <v>912</v>
      </c>
      <c r="H41" s="45" t="s">
        <v>906</v>
      </c>
      <c r="I41" s="26"/>
      <c r="J41" s="26"/>
      <c r="K41" s="26"/>
      <c r="L41" s="47"/>
      <c r="M41" s="32" t="s">
        <v>920</v>
      </c>
      <c r="N41" s="33"/>
      <c r="O41" s="32"/>
      <c r="P41" s="26"/>
      <c r="Q41" s="26"/>
      <c r="R41" s="36"/>
      <c r="S41" s="26"/>
      <c r="T41" s="26"/>
      <c r="U41" s="26"/>
      <c r="V41" s="30"/>
      <c r="W41" s="26"/>
    </row>
    <row r="42" ht="14" spans="1:23">
      <c r="A42" s="26" t="s">
        <v>778</v>
      </c>
      <c r="B42" s="26" t="s">
        <v>807</v>
      </c>
      <c r="C42" s="42" t="s">
        <v>49</v>
      </c>
      <c r="D42" s="43" t="s">
        <v>808</v>
      </c>
      <c r="E42" s="26"/>
      <c r="F42" s="26" t="s">
        <v>911</v>
      </c>
      <c r="G42" s="26" t="s">
        <v>912</v>
      </c>
      <c r="H42" s="45" t="s">
        <v>906</v>
      </c>
      <c r="I42" s="26"/>
      <c r="J42" s="26"/>
      <c r="K42" s="26"/>
      <c r="L42" s="47"/>
      <c r="M42" s="31" t="s">
        <v>921</v>
      </c>
      <c r="N42" s="31"/>
      <c r="O42" s="31"/>
      <c r="P42" s="26"/>
      <c r="Q42" s="26"/>
      <c r="R42" s="36"/>
      <c r="S42" s="26"/>
      <c r="T42" s="26"/>
      <c r="U42" s="26"/>
      <c r="V42" s="30"/>
      <c r="W42" s="26"/>
    </row>
    <row r="43" ht="14" spans="1:23">
      <c r="A43" s="26" t="s">
        <v>778</v>
      </c>
      <c r="B43" s="26" t="s">
        <v>807</v>
      </c>
      <c r="C43" s="42" t="s">
        <v>49</v>
      </c>
      <c r="D43" s="43" t="s">
        <v>808</v>
      </c>
      <c r="E43" s="26"/>
      <c r="F43" s="26" t="s">
        <v>911</v>
      </c>
      <c r="G43" s="26" t="s">
        <v>912</v>
      </c>
      <c r="H43" s="45" t="s">
        <v>906</v>
      </c>
      <c r="I43" s="26"/>
      <c r="J43" s="26"/>
      <c r="K43" s="26"/>
      <c r="L43" s="47"/>
      <c r="M43" s="31" t="s">
        <v>922</v>
      </c>
      <c r="N43" s="31"/>
      <c r="O43" s="31"/>
      <c r="P43" s="26"/>
      <c r="Q43" s="26"/>
      <c r="R43" s="36"/>
      <c r="S43" s="26"/>
      <c r="T43" s="26"/>
      <c r="U43" s="26"/>
      <c r="V43" s="30"/>
      <c r="W43" s="26"/>
    </row>
    <row r="44" ht="14" spans="1:23">
      <c r="A44" s="26" t="s">
        <v>778</v>
      </c>
      <c r="B44" s="26" t="s">
        <v>807</v>
      </c>
      <c r="C44" s="42" t="s">
        <v>49</v>
      </c>
      <c r="D44" s="43" t="s">
        <v>808</v>
      </c>
      <c r="E44" s="26"/>
      <c r="F44" s="26" t="s">
        <v>911</v>
      </c>
      <c r="G44" s="26" t="s">
        <v>912</v>
      </c>
      <c r="H44" s="45" t="s">
        <v>906</v>
      </c>
      <c r="I44" s="26"/>
      <c r="J44" s="26"/>
      <c r="K44" s="26"/>
      <c r="L44" s="47"/>
      <c r="M44" s="32" t="s">
        <v>923</v>
      </c>
      <c r="N44" s="33"/>
      <c r="O44" s="33"/>
      <c r="P44" s="26"/>
      <c r="Q44" s="26"/>
      <c r="R44" s="36"/>
      <c r="S44" s="26"/>
      <c r="T44" s="26"/>
      <c r="U44" s="26"/>
      <c r="V44" s="30"/>
      <c r="W44" s="26"/>
    </row>
    <row r="45" ht="14" spans="1:23">
      <c r="A45" s="26" t="s">
        <v>778</v>
      </c>
      <c r="B45" s="26" t="s">
        <v>807</v>
      </c>
      <c r="C45" s="42" t="s">
        <v>49</v>
      </c>
      <c r="D45" s="43" t="s">
        <v>808</v>
      </c>
      <c r="E45" s="26"/>
      <c r="F45" s="26" t="s">
        <v>911</v>
      </c>
      <c r="G45" s="26" t="s">
        <v>912</v>
      </c>
      <c r="H45" s="45" t="s">
        <v>906</v>
      </c>
      <c r="I45" s="26"/>
      <c r="J45" s="26"/>
      <c r="K45" s="26"/>
      <c r="L45" s="47"/>
      <c r="M45" s="31" t="s">
        <v>924</v>
      </c>
      <c r="N45" s="31"/>
      <c r="O45" s="31"/>
      <c r="P45" s="26"/>
      <c r="Q45" s="26"/>
      <c r="R45" s="36"/>
      <c r="S45" s="26"/>
      <c r="T45" s="26"/>
      <c r="U45" s="26"/>
      <c r="V45" s="30"/>
      <c r="W45" s="26"/>
    </row>
    <row r="46" ht="14" spans="1:23">
      <c r="A46" s="26" t="s">
        <v>778</v>
      </c>
      <c r="B46" s="26" t="s">
        <v>807</v>
      </c>
      <c r="C46" s="42" t="s">
        <v>49</v>
      </c>
      <c r="D46" s="43" t="s">
        <v>808</v>
      </c>
      <c r="E46" s="26"/>
      <c r="F46" s="26" t="s">
        <v>911</v>
      </c>
      <c r="G46" s="26" t="s">
        <v>912</v>
      </c>
      <c r="H46" s="45" t="s">
        <v>906</v>
      </c>
      <c r="I46" s="26"/>
      <c r="J46" s="26"/>
      <c r="K46" s="26"/>
      <c r="L46" s="47"/>
      <c r="M46" s="31" t="s">
        <v>925</v>
      </c>
      <c r="N46" s="31"/>
      <c r="O46" s="31"/>
      <c r="P46" s="26"/>
      <c r="Q46" s="26"/>
      <c r="R46" s="36"/>
      <c r="S46" s="26"/>
      <c r="T46" s="26"/>
      <c r="U46" s="26"/>
      <c r="V46" s="30"/>
      <c r="W46" s="26"/>
    </row>
    <row r="47" ht="14" spans="1:23">
      <c r="A47" s="26" t="s">
        <v>778</v>
      </c>
      <c r="B47" s="26" t="s">
        <v>807</v>
      </c>
      <c r="C47" s="42" t="s">
        <v>49</v>
      </c>
      <c r="D47" s="43" t="s">
        <v>808</v>
      </c>
      <c r="E47" s="26"/>
      <c r="F47" s="26" t="s">
        <v>911</v>
      </c>
      <c r="G47" s="26" t="s">
        <v>912</v>
      </c>
      <c r="H47" s="45" t="s">
        <v>906</v>
      </c>
      <c r="I47" s="26"/>
      <c r="J47" s="26"/>
      <c r="K47" s="26"/>
      <c r="L47" s="47"/>
      <c r="M47" s="31" t="s">
        <v>926</v>
      </c>
      <c r="N47" s="31"/>
      <c r="O47" s="31"/>
      <c r="P47" s="26"/>
      <c r="Q47" s="26"/>
      <c r="R47" s="36"/>
      <c r="S47" s="26"/>
      <c r="T47" s="26"/>
      <c r="U47" s="26"/>
      <c r="V47" s="30"/>
      <c r="W47" s="26"/>
    </row>
    <row r="48" ht="14" spans="1:23">
      <c r="A48" s="26" t="s">
        <v>778</v>
      </c>
      <c r="B48" s="26" t="s">
        <v>807</v>
      </c>
      <c r="C48" s="42" t="s">
        <v>49</v>
      </c>
      <c r="D48" s="43" t="s">
        <v>808</v>
      </c>
      <c r="E48" s="26"/>
      <c r="F48" s="26" t="s">
        <v>911</v>
      </c>
      <c r="G48" s="26" t="s">
        <v>912</v>
      </c>
      <c r="H48" s="45" t="s">
        <v>906</v>
      </c>
      <c r="I48" s="26"/>
      <c r="J48" s="26"/>
      <c r="K48" s="26"/>
      <c r="L48" s="47"/>
      <c r="M48" s="34" t="s">
        <v>927</v>
      </c>
      <c r="N48" s="33"/>
      <c r="O48" s="35"/>
      <c r="P48" s="26"/>
      <c r="Q48" s="26"/>
      <c r="R48" s="36"/>
      <c r="S48" s="26"/>
      <c r="T48" s="26"/>
      <c r="U48" s="26"/>
      <c r="V48" s="30"/>
      <c r="W48" s="26"/>
    </row>
    <row r="49" ht="14" spans="1:23">
      <c r="A49" s="26" t="s">
        <v>778</v>
      </c>
      <c r="B49" s="26" t="s">
        <v>807</v>
      </c>
      <c r="C49" s="42" t="s">
        <v>49</v>
      </c>
      <c r="D49" s="43" t="s">
        <v>808</v>
      </c>
      <c r="E49" s="26"/>
      <c r="F49" s="26" t="s">
        <v>911</v>
      </c>
      <c r="G49" s="26" t="s">
        <v>912</v>
      </c>
      <c r="H49" s="45" t="s">
        <v>906</v>
      </c>
      <c r="I49" s="26"/>
      <c r="J49" s="26"/>
      <c r="K49" s="26"/>
      <c r="L49" s="47"/>
      <c r="M49" s="33" t="s">
        <v>928</v>
      </c>
      <c r="N49" s="33"/>
      <c r="O49" s="33"/>
      <c r="P49" s="26"/>
      <c r="Q49" s="26"/>
      <c r="R49" s="36"/>
      <c r="S49" s="26"/>
      <c r="T49" s="26"/>
      <c r="U49" s="26"/>
      <c r="V49" s="30"/>
      <c r="W49" s="26"/>
    </row>
    <row r="50" ht="14" spans="1:23">
      <c r="A50" s="26" t="s">
        <v>778</v>
      </c>
      <c r="B50" s="26" t="s">
        <v>807</v>
      </c>
      <c r="C50" s="42" t="s">
        <v>49</v>
      </c>
      <c r="D50" s="43" t="s">
        <v>808</v>
      </c>
      <c r="E50" s="26"/>
      <c r="F50" s="26" t="s">
        <v>911</v>
      </c>
      <c r="G50" s="26" t="s">
        <v>912</v>
      </c>
      <c r="H50" s="45" t="s">
        <v>906</v>
      </c>
      <c r="I50" s="26"/>
      <c r="J50" s="26"/>
      <c r="K50" s="26"/>
      <c r="L50" s="47"/>
      <c r="M50" s="31" t="s">
        <v>929</v>
      </c>
      <c r="N50" s="31"/>
      <c r="O50" s="31"/>
      <c r="P50" s="26"/>
      <c r="Q50" s="26"/>
      <c r="R50" s="36"/>
      <c r="S50" s="26"/>
      <c r="T50" s="26"/>
      <c r="U50" s="26"/>
      <c r="V50" s="30"/>
      <c r="W50" s="26"/>
    </row>
    <row r="51" ht="14" spans="1:23">
      <c r="A51" s="26" t="s">
        <v>778</v>
      </c>
      <c r="B51" s="26" t="s">
        <v>807</v>
      </c>
      <c r="C51" s="42" t="s">
        <v>49</v>
      </c>
      <c r="D51" s="43" t="s">
        <v>808</v>
      </c>
      <c r="E51" s="26"/>
      <c r="F51" s="26" t="s">
        <v>911</v>
      </c>
      <c r="G51" s="26" t="s">
        <v>912</v>
      </c>
      <c r="H51" s="45" t="s">
        <v>906</v>
      </c>
      <c r="I51" s="26"/>
      <c r="J51" s="26"/>
      <c r="K51" s="26"/>
      <c r="L51" s="47"/>
      <c r="M51" s="31" t="s">
        <v>930</v>
      </c>
      <c r="N51" s="31"/>
      <c r="O51" s="31"/>
      <c r="P51" s="26"/>
      <c r="Q51" s="26"/>
      <c r="R51" s="36"/>
      <c r="S51" s="26"/>
      <c r="T51" s="26"/>
      <c r="U51" s="26"/>
      <c r="V51" s="30"/>
      <c r="W51" s="26"/>
    </row>
    <row r="52" ht="14" spans="1:23">
      <c r="A52" s="26" t="s">
        <v>778</v>
      </c>
      <c r="B52" s="26" t="s">
        <v>807</v>
      </c>
      <c r="C52" s="42" t="s">
        <v>49</v>
      </c>
      <c r="D52" s="43" t="s">
        <v>808</v>
      </c>
      <c r="E52" s="26"/>
      <c r="F52" s="26" t="s">
        <v>931</v>
      </c>
      <c r="G52" s="26" t="s">
        <v>932</v>
      </c>
      <c r="H52" s="45" t="s">
        <v>933</v>
      </c>
      <c r="I52" s="26"/>
      <c r="J52" s="26"/>
      <c r="K52" s="26"/>
      <c r="L52" s="47"/>
      <c r="M52" s="26" t="s">
        <v>491</v>
      </c>
      <c r="N52" s="26"/>
      <c r="O52" s="26"/>
      <c r="P52" s="26"/>
      <c r="Q52" s="26"/>
      <c r="R52" s="26"/>
      <c r="S52" s="26"/>
      <c r="T52" s="26"/>
      <c r="U52" s="26"/>
      <c r="V52" s="30"/>
      <c r="W52" s="26"/>
    </row>
  </sheetData>
  <autoFilter xmlns:etc="http://www.wps.cn/officeDocument/2017/etCustomData" ref="A1:W52" etc:filterBottomFollowUsedRange="0">
    <extLst/>
  </autoFilter>
  <conditionalFormatting sqref="M1:N1">
    <cfRule type="containsText" dxfId="0" priority="1" operator="between" text="人疱疹病毒5型">
      <formula>NOT(ISERROR(SEARCH("人疱疹病毒5型",M1)))</formula>
    </cfRule>
    <cfRule type="containsText" dxfId="0" priority="2" operator="between" text="烟曲">
      <formula>NOT(ISERROR(SEARCH("烟曲",M1)))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B22" sqref="B22"/>
    </sheetView>
  </sheetViews>
  <sheetFormatPr defaultColWidth="9.23076923076923" defaultRowHeight="16.8"/>
  <cols>
    <col min="1" max="1" width="32.0384615384615" customWidth="1"/>
  </cols>
  <sheetData>
    <row r="1" spans="1:11">
      <c r="A1" s="27" t="s">
        <v>796</v>
      </c>
      <c r="B1" s="28" t="s">
        <v>797</v>
      </c>
      <c r="C1" s="29" t="s">
        <v>798</v>
      </c>
      <c r="D1" s="29" t="s">
        <v>799</v>
      </c>
      <c r="E1" s="29" t="s">
        <v>800</v>
      </c>
      <c r="F1" s="29" t="s">
        <v>801</v>
      </c>
      <c r="G1" s="29" t="s">
        <v>802</v>
      </c>
      <c r="H1" s="29" t="s">
        <v>803</v>
      </c>
      <c r="I1" s="29" t="s">
        <v>804</v>
      </c>
      <c r="J1" s="27" t="s">
        <v>805</v>
      </c>
      <c r="K1" s="27" t="s">
        <v>806</v>
      </c>
    </row>
    <row r="2" spans="1:11">
      <c r="A2" s="31" t="s">
        <v>907</v>
      </c>
      <c r="B2" s="31" t="s">
        <v>934</v>
      </c>
      <c r="C2" s="31">
        <v>287</v>
      </c>
      <c r="D2" s="26"/>
      <c r="E2" s="26"/>
      <c r="F2" s="36" t="s">
        <v>935</v>
      </c>
      <c r="G2" s="26"/>
      <c r="H2" s="26"/>
      <c r="I2" s="26"/>
      <c r="J2" s="30" t="s">
        <v>936</v>
      </c>
      <c r="K2" s="26" t="s">
        <v>937</v>
      </c>
    </row>
    <row r="3" spans="1:11">
      <c r="A3" s="31" t="s">
        <v>910</v>
      </c>
      <c r="B3" s="31" t="s">
        <v>934</v>
      </c>
      <c r="C3" s="31">
        <v>1280</v>
      </c>
      <c r="D3" s="26"/>
      <c r="E3" s="26"/>
      <c r="F3" s="36" t="s">
        <v>935</v>
      </c>
      <c r="G3" s="26"/>
      <c r="H3" s="26"/>
      <c r="I3" s="26"/>
      <c r="J3" s="30" t="s">
        <v>936</v>
      </c>
      <c r="K3" s="26" t="s">
        <v>937</v>
      </c>
    </row>
    <row r="4" spans="1:11">
      <c r="A4" s="31" t="s">
        <v>913</v>
      </c>
      <c r="B4" s="31" t="s">
        <v>934</v>
      </c>
      <c r="C4" s="31">
        <v>727</v>
      </c>
      <c r="D4" s="26"/>
      <c r="E4" s="26"/>
      <c r="F4" s="36" t="s">
        <v>935</v>
      </c>
      <c r="G4" s="26"/>
      <c r="H4" s="26"/>
      <c r="I4" s="26"/>
      <c r="J4" s="30" t="s">
        <v>936</v>
      </c>
      <c r="K4" s="26" t="s">
        <v>937</v>
      </c>
    </row>
    <row r="5" spans="1:11">
      <c r="A5" s="31" t="s">
        <v>914</v>
      </c>
      <c r="B5" s="31" t="s">
        <v>934</v>
      </c>
      <c r="C5" s="31">
        <v>1768</v>
      </c>
      <c r="D5" s="26"/>
      <c r="E5" s="26"/>
      <c r="F5" s="36" t="s">
        <v>935</v>
      </c>
      <c r="G5" s="26"/>
      <c r="H5" s="26"/>
      <c r="I5" s="26"/>
      <c r="J5" s="30" t="s">
        <v>936</v>
      </c>
      <c r="K5" s="26" t="s">
        <v>937</v>
      </c>
    </row>
    <row r="6" spans="1:11">
      <c r="A6" s="31" t="s">
        <v>915</v>
      </c>
      <c r="B6" s="31" t="s">
        <v>934</v>
      </c>
      <c r="C6" s="31">
        <v>1313</v>
      </c>
      <c r="D6" s="26"/>
      <c r="E6" s="26"/>
      <c r="F6" s="36" t="s">
        <v>935</v>
      </c>
      <c r="G6" s="26"/>
      <c r="H6" s="26"/>
      <c r="I6" s="26"/>
      <c r="J6" s="30" t="s">
        <v>936</v>
      </c>
      <c r="K6" s="26" t="s">
        <v>937</v>
      </c>
    </row>
    <row r="7" spans="1:11">
      <c r="A7" s="31" t="s">
        <v>916</v>
      </c>
      <c r="B7" s="31" t="s">
        <v>934</v>
      </c>
      <c r="C7" s="31">
        <v>446</v>
      </c>
      <c r="D7" s="26"/>
      <c r="E7" s="26"/>
      <c r="F7" s="36" t="s">
        <v>935</v>
      </c>
      <c r="G7" s="26"/>
      <c r="H7" s="26"/>
      <c r="I7" s="26"/>
      <c r="J7" s="30" t="s">
        <v>936</v>
      </c>
      <c r="K7" s="26" t="s">
        <v>937</v>
      </c>
    </row>
    <row r="8" spans="1:11">
      <c r="A8" s="31" t="s">
        <v>917</v>
      </c>
      <c r="B8" s="31" t="s">
        <v>934</v>
      </c>
      <c r="C8" s="31">
        <v>1352</v>
      </c>
      <c r="D8" s="26"/>
      <c r="E8" s="26"/>
      <c r="F8" s="36" t="s">
        <v>935</v>
      </c>
      <c r="G8" s="26"/>
      <c r="H8" s="26"/>
      <c r="I8" s="26"/>
      <c r="J8" s="30" t="s">
        <v>936</v>
      </c>
      <c r="K8" s="26" t="s">
        <v>937</v>
      </c>
    </row>
    <row r="9" spans="1:11">
      <c r="A9" s="31" t="s">
        <v>918</v>
      </c>
      <c r="B9" s="31" t="s">
        <v>934</v>
      </c>
      <c r="C9" s="31">
        <v>470</v>
      </c>
      <c r="D9" s="26"/>
      <c r="E9" s="26"/>
      <c r="F9" s="36" t="s">
        <v>935</v>
      </c>
      <c r="G9" s="26"/>
      <c r="H9" s="26"/>
      <c r="I9" s="26"/>
      <c r="J9" s="30" t="s">
        <v>936</v>
      </c>
      <c r="K9" s="26" t="s">
        <v>937</v>
      </c>
    </row>
    <row r="10" spans="1:11">
      <c r="A10" s="31" t="s">
        <v>919</v>
      </c>
      <c r="B10" s="31" t="s">
        <v>934</v>
      </c>
      <c r="C10" s="31">
        <v>573</v>
      </c>
      <c r="D10" s="26"/>
      <c r="E10" s="26"/>
      <c r="F10" s="36" t="s">
        <v>935</v>
      </c>
      <c r="G10" s="26"/>
      <c r="H10" s="26"/>
      <c r="I10" s="26"/>
      <c r="J10" s="30" t="s">
        <v>936</v>
      </c>
      <c r="K10" s="26" t="s">
        <v>937</v>
      </c>
    </row>
    <row r="11" spans="1:11">
      <c r="A11" s="32" t="s">
        <v>920</v>
      </c>
      <c r="B11" s="33" t="s">
        <v>934</v>
      </c>
      <c r="C11" s="32">
        <v>37329</v>
      </c>
      <c r="D11" s="26"/>
      <c r="E11" s="26"/>
      <c r="F11" s="36" t="s">
        <v>935</v>
      </c>
      <c r="G11" s="26"/>
      <c r="H11" s="26"/>
      <c r="I11" s="26"/>
      <c r="J11" s="30" t="s">
        <v>936</v>
      </c>
      <c r="K11" s="26" t="s">
        <v>937</v>
      </c>
    </row>
    <row r="12" spans="1:11">
      <c r="A12" s="31" t="s">
        <v>921</v>
      </c>
      <c r="B12" s="31" t="s">
        <v>938</v>
      </c>
      <c r="C12" s="31">
        <v>746128</v>
      </c>
      <c r="D12" s="26"/>
      <c r="E12" s="26"/>
      <c r="F12" s="36" t="s">
        <v>935</v>
      </c>
      <c r="G12" s="26"/>
      <c r="H12" s="26"/>
      <c r="I12" s="26"/>
      <c r="J12" s="30" t="s">
        <v>936</v>
      </c>
      <c r="K12" s="26" t="s">
        <v>937</v>
      </c>
    </row>
    <row r="13" spans="1:11">
      <c r="A13" s="31" t="s">
        <v>922</v>
      </c>
      <c r="B13" s="31" t="s">
        <v>938</v>
      </c>
      <c r="C13" s="31">
        <v>5482</v>
      </c>
      <c r="D13" s="26"/>
      <c r="E13" s="26"/>
      <c r="F13" s="36" t="s">
        <v>935</v>
      </c>
      <c r="G13" s="26"/>
      <c r="H13" s="26"/>
      <c r="I13" s="26"/>
      <c r="J13" s="30" t="s">
        <v>936</v>
      </c>
      <c r="K13" s="26" t="s">
        <v>937</v>
      </c>
    </row>
    <row r="14" spans="1:11">
      <c r="A14" s="32" t="s">
        <v>923</v>
      </c>
      <c r="B14" s="33" t="s">
        <v>938</v>
      </c>
      <c r="C14" s="33">
        <v>40410</v>
      </c>
      <c r="D14" s="26"/>
      <c r="E14" s="26"/>
      <c r="F14" s="36" t="s">
        <v>935</v>
      </c>
      <c r="G14" s="26"/>
      <c r="H14" s="26"/>
      <c r="I14" s="26"/>
      <c r="J14" s="30" t="s">
        <v>936</v>
      </c>
      <c r="K14" s="26" t="s">
        <v>937</v>
      </c>
    </row>
    <row r="15" spans="1:11">
      <c r="A15" s="31" t="s">
        <v>924</v>
      </c>
      <c r="B15" s="31" t="s">
        <v>938</v>
      </c>
      <c r="C15" s="31">
        <v>4840</v>
      </c>
      <c r="D15" s="26"/>
      <c r="E15" s="26"/>
      <c r="F15" s="36" t="s">
        <v>935</v>
      </c>
      <c r="G15" s="26"/>
      <c r="H15" s="26"/>
      <c r="I15" s="26"/>
      <c r="J15" s="30" t="s">
        <v>936</v>
      </c>
      <c r="K15" s="26" t="s">
        <v>937</v>
      </c>
    </row>
    <row r="16" spans="1:11">
      <c r="A16" s="31" t="s">
        <v>925</v>
      </c>
      <c r="B16" s="31" t="s">
        <v>938</v>
      </c>
      <c r="C16" s="31">
        <v>37727</v>
      </c>
      <c r="D16" s="26"/>
      <c r="E16" s="26"/>
      <c r="F16" s="36" t="s">
        <v>935</v>
      </c>
      <c r="G16" s="26"/>
      <c r="H16" s="26"/>
      <c r="I16" s="26"/>
      <c r="J16" s="30" t="s">
        <v>936</v>
      </c>
      <c r="K16" s="26" t="s">
        <v>937</v>
      </c>
    </row>
    <row r="17" spans="1:11">
      <c r="A17" s="31" t="s">
        <v>926</v>
      </c>
      <c r="B17" s="31" t="s">
        <v>939</v>
      </c>
      <c r="C17" s="31">
        <v>10359</v>
      </c>
      <c r="D17" s="26"/>
      <c r="E17" s="26"/>
      <c r="F17" s="36" t="s">
        <v>940</v>
      </c>
      <c r="G17" s="26"/>
      <c r="H17" s="26"/>
      <c r="I17" s="26"/>
      <c r="J17" s="30" t="s">
        <v>936</v>
      </c>
      <c r="K17" s="26" t="s">
        <v>937</v>
      </c>
    </row>
    <row r="18" spans="1:11">
      <c r="A18" s="34" t="s">
        <v>927</v>
      </c>
      <c r="B18" s="33" t="s">
        <v>939</v>
      </c>
      <c r="C18" s="35">
        <v>108098</v>
      </c>
      <c r="D18" s="26"/>
      <c r="E18" s="26"/>
      <c r="F18" s="36" t="s">
        <v>940</v>
      </c>
      <c r="G18" s="26"/>
      <c r="H18" s="26"/>
      <c r="I18" s="26"/>
      <c r="J18" s="30" t="s">
        <v>936</v>
      </c>
      <c r="K18" s="26" t="s">
        <v>937</v>
      </c>
    </row>
    <row r="19" spans="1:11">
      <c r="A19" s="33" t="s">
        <v>928</v>
      </c>
      <c r="B19" s="33" t="s">
        <v>939</v>
      </c>
      <c r="C19" s="33">
        <v>1507401</v>
      </c>
      <c r="D19" s="26"/>
      <c r="E19" s="26"/>
      <c r="F19" s="36" t="s">
        <v>940</v>
      </c>
      <c r="G19" s="26"/>
      <c r="H19" s="26"/>
      <c r="I19" s="26"/>
      <c r="J19" s="30" t="s">
        <v>936</v>
      </c>
      <c r="K19" s="26" t="s">
        <v>937</v>
      </c>
    </row>
    <row r="20" spans="1:11">
      <c r="A20" s="31" t="s">
        <v>929</v>
      </c>
      <c r="B20" s="31" t="s">
        <v>934</v>
      </c>
      <c r="C20" s="31">
        <v>2104</v>
      </c>
      <c r="D20" s="26"/>
      <c r="E20" s="26"/>
      <c r="F20" s="36" t="s">
        <v>940</v>
      </c>
      <c r="G20" s="26"/>
      <c r="H20" s="26"/>
      <c r="I20" s="26"/>
      <c r="J20" s="30" t="s">
        <v>936</v>
      </c>
      <c r="K20" s="26" t="s">
        <v>937</v>
      </c>
    </row>
    <row r="21" spans="1:11">
      <c r="A21" s="31" t="s">
        <v>930</v>
      </c>
      <c r="B21" s="31" t="s">
        <v>934</v>
      </c>
      <c r="C21" s="31">
        <v>83558</v>
      </c>
      <c r="D21" s="26"/>
      <c r="E21" s="26"/>
      <c r="F21" s="36" t="s">
        <v>940</v>
      </c>
      <c r="G21" s="26"/>
      <c r="H21" s="26"/>
      <c r="I21" s="26"/>
      <c r="J21" s="30" t="s">
        <v>936</v>
      </c>
      <c r="K21" s="26" t="s">
        <v>937</v>
      </c>
    </row>
  </sheetData>
  <conditionalFormatting sqref="A1:B1">
    <cfRule type="containsText" dxfId="0" priority="2" operator="between" text="烟曲">
      <formula>NOT(ISERROR(SEARCH("烟曲",A1)))</formula>
    </cfRule>
    <cfRule type="containsText" dxfId="0" priority="1" operator="between" text="人疱疹病毒5型">
      <formula>NOT(ISERROR(SEARCH("人疱疹病毒5型",A1)))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H32" sqref="H31:H32"/>
    </sheetView>
  </sheetViews>
  <sheetFormatPr defaultColWidth="9.23076923076923" defaultRowHeight="16.8" outlineLevelRow="1"/>
  <sheetData>
    <row r="1" spans="1:11">
      <c r="A1" s="27" t="s">
        <v>796</v>
      </c>
      <c r="B1" s="28" t="s">
        <v>797</v>
      </c>
      <c r="C1" s="29" t="s">
        <v>798</v>
      </c>
      <c r="D1" s="29" t="s">
        <v>799</v>
      </c>
      <c r="E1" s="29" t="s">
        <v>800</v>
      </c>
      <c r="F1" s="29" t="s">
        <v>801</v>
      </c>
      <c r="G1" s="29" t="s">
        <v>802</v>
      </c>
      <c r="H1" s="29" t="s">
        <v>803</v>
      </c>
      <c r="I1" s="29" t="s">
        <v>804</v>
      </c>
      <c r="J1" s="27" t="s">
        <v>805</v>
      </c>
      <c r="K1" s="27" t="s">
        <v>806</v>
      </c>
    </row>
    <row r="2" spans="1:11">
      <c r="A2" s="26" t="s">
        <v>491</v>
      </c>
      <c r="B2" s="26" t="s">
        <v>491</v>
      </c>
      <c r="C2" s="26" t="s">
        <v>491</v>
      </c>
      <c r="D2" s="26" t="s">
        <v>491</v>
      </c>
      <c r="E2" s="26" t="s">
        <v>491</v>
      </c>
      <c r="F2" s="26" t="s">
        <v>491</v>
      </c>
      <c r="G2" s="26" t="s">
        <v>491</v>
      </c>
      <c r="H2" s="26" t="s">
        <v>491</v>
      </c>
      <c r="I2" s="26" t="s">
        <v>491</v>
      </c>
      <c r="J2" s="30" t="s">
        <v>941</v>
      </c>
      <c r="K2" s="26" t="s">
        <v>937</v>
      </c>
    </row>
  </sheetData>
  <conditionalFormatting sqref="A1:B1">
    <cfRule type="containsText" dxfId="0" priority="2" operator="between" text="烟曲">
      <formula>NOT(ISERROR(SEARCH("烟曲",A1)))</formula>
    </cfRule>
    <cfRule type="containsText" dxfId="0" priority="1" operator="between" text="人疱疹病毒5型">
      <formula>NOT(ISERROR(SEARCH("人疱疹病毒5型",A1)))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2"/>
  <sheetViews>
    <sheetView workbookViewId="0">
      <selection activeCell="B13" sqref="B13"/>
    </sheetView>
  </sheetViews>
  <sheetFormatPr defaultColWidth="9.23076923076923" defaultRowHeight="16.8" outlineLevelCol="2"/>
  <cols>
    <col min="1" max="1" width="42.1442307692308" customWidth="1"/>
    <col min="2" max="2" width="68.6923076923077" customWidth="1"/>
    <col min="3" max="3" width="35.6923076923077" customWidth="1"/>
  </cols>
  <sheetData>
    <row r="2" spans="2:3">
      <c r="B2" t="s">
        <v>942</v>
      </c>
      <c r="C2" t="s">
        <v>943</v>
      </c>
    </row>
    <row r="3" spans="1:3">
      <c r="A3" t="s">
        <v>944</v>
      </c>
      <c r="B3" t="s">
        <v>945</v>
      </c>
      <c r="C3" t="s">
        <v>946</v>
      </c>
    </row>
    <row r="4" spans="1:3">
      <c r="A4" t="s">
        <v>790</v>
      </c>
      <c r="B4" t="s">
        <v>947</v>
      </c>
      <c r="C4" t="s">
        <v>948</v>
      </c>
    </row>
    <row r="5" spans="1:3">
      <c r="A5" t="s">
        <v>775</v>
      </c>
      <c r="B5" t="s">
        <v>949</v>
      </c>
      <c r="C5" s="25" t="s">
        <v>777</v>
      </c>
    </row>
    <row r="6" spans="1:3">
      <c r="A6" t="s">
        <v>950</v>
      </c>
      <c r="B6" t="s">
        <v>951</v>
      </c>
      <c r="C6" s="26" t="s">
        <v>778</v>
      </c>
    </row>
    <row r="7" spans="1:3">
      <c r="A7" t="s">
        <v>952</v>
      </c>
      <c r="B7" t="s">
        <v>953</v>
      </c>
      <c r="C7" t="s">
        <v>811</v>
      </c>
    </row>
    <row r="8" spans="1:2">
      <c r="A8" t="s">
        <v>954</v>
      </c>
      <c r="B8" t="s">
        <v>955</v>
      </c>
    </row>
    <row r="9" spans="1:2">
      <c r="A9" t="s">
        <v>956</v>
      </c>
      <c r="B9" t="s">
        <v>957</v>
      </c>
    </row>
    <row r="10" ht="17" spans="1:2">
      <c r="A10" s="6" t="s">
        <v>958</v>
      </c>
      <c r="B10" t="s">
        <v>959</v>
      </c>
    </row>
    <row r="11" ht="17" spans="1:2">
      <c r="A11" s="7" t="s">
        <v>798</v>
      </c>
      <c r="B11" t="s">
        <v>959</v>
      </c>
    </row>
    <row r="12" ht="17" spans="1:2">
      <c r="A12" s="6" t="s">
        <v>960</v>
      </c>
      <c r="B12" t="s">
        <v>959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"/>
  <sheetViews>
    <sheetView tabSelected="1" workbookViewId="0">
      <selection activeCell="C1" sqref="C1:E1"/>
    </sheetView>
  </sheetViews>
  <sheetFormatPr defaultColWidth="9.23076923076923" defaultRowHeight="16.8" outlineLevelCol="6"/>
  <cols>
    <col min="1" max="1" width="5.19230769230769" customWidth="1"/>
    <col min="2" max="2" width="44.2307692307692" customWidth="1"/>
    <col min="4" max="4" width="10.3076923076923" customWidth="1"/>
    <col min="5" max="5" width="48.2307692307692" customWidth="1"/>
    <col min="6" max="6" width="37.8076923076923" customWidth="1"/>
    <col min="7" max="7" width="15.7307692307692" customWidth="1"/>
  </cols>
  <sheetData>
    <row r="1" ht="17" customHeight="1" spans="1:7">
      <c r="A1" s="6" t="s">
        <v>961</v>
      </c>
      <c r="B1" s="6" t="s">
        <v>962</v>
      </c>
      <c r="C1" s="6" t="s">
        <v>958</v>
      </c>
      <c r="D1" s="7" t="s">
        <v>798</v>
      </c>
      <c r="E1" s="6" t="s">
        <v>960</v>
      </c>
      <c r="F1" s="21" t="s">
        <v>963</v>
      </c>
      <c r="G1" s="6" t="s">
        <v>964</v>
      </c>
    </row>
    <row r="2" ht="17" customHeight="1" spans="1:7">
      <c r="A2" s="8">
        <v>1</v>
      </c>
      <c r="B2" s="9" t="s">
        <v>965</v>
      </c>
      <c r="C2" s="9" t="s">
        <v>966</v>
      </c>
      <c r="D2" s="8">
        <v>10509</v>
      </c>
      <c r="E2" s="8" t="s">
        <v>967</v>
      </c>
      <c r="F2" s="14" t="s">
        <v>968</v>
      </c>
      <c r="G2" s="14" t="s">
        <v>969</v>
      </c>
    </row>
    <row r="3" ht="17" customHeight="1" spans="1:7">
      <c r="A3" s="8">
        <v>2</v>
      </c>
      <c r="B3" s="10" t="s">
        <v>970</v>
      </c>
      <c r="C3" s="9" t="s">
        <v>966</v>
      </c>
      <c r="D3" s="10">
        <v>1507401</v>
      </c>
      <c r="E3" s="10" t="s">
        <v>971</v>
      </c>
      <c r="F3" s="14" t="s">
        <v>968</v>
      </c>
      <c r="G3" s="14" t="s">
        <v>969</v>
      </c>
    </row>
    <row r="4" ht="17" customHeight="1" spans="1:7">
      <c r="A4" s="8">
        <v>3</v>
      </c>
      <c r="B4" s="11" t="s">
        <v>972</v>
      </c>
      <c r="C4" s="9" t="s">
        <v>966</v>
      </c>
      <c r="D4" s="12">
        <v>10376</v>
      </c>
      <c r="E4" s="9" t="s">
        <v>973</v>
      </c>
      <c r="F4" s="14" t="s">
        <v>968</v>
      </c>
      <c r="G4" s="14" t="s">
        <v>969</v>
      </c>
    </row>
    <row r="5" ht="17" customHeight="1" spans="1:7">
      <c r="A5" s="8">
        <v>4</v>
      </c>
      <c r="B5" s="11" t="s">
        <v>974</v>
      </c>
      <c r="C5" s="9" t="s">
        <v>966</v>
      </c>
      <c r="D5" s="12">
        <v>10298</v>
      </c>
      <c r="E5" s="9" t="s">
        <v>975</v>
      </c>
      <c r="F5" s="14" t="s">
        <v>968</v>
      </c>
      <c r="G5" s="14" t="s">
        <v>969</v>
      </c>
    </row>
    <row r="6" ht="17" customHeight="1" spans="1:7">
      <c r="A6" s="8">
        <v>5</v>
      </c>
      <c r="B6" s="11" t="s">
        <v>976</v>
      </c>
      <c r="C6" s="9" t="s">
        <v>966</v>
      </c>
      <c r="D6" s="9">
        <v>10359</v>
      </c>
      <c r="E6" s="9" t="s">
        <v>977</v>
      </c>
      <c r="F6" s="14" t="s">
        <v>968</v>
      </c>
      <c r="G6" s="14" t="s">
        <v>969</v>
      </c>
    </row>
    <row r="7" ht="17" customHeight="1" spans="1:7">
      <c r="A7" s="8">
        <v>6</v>
      </c>
      <c r="B7" s="8" t="s">
        <v>978</v>
      </c>
      <c r="C7" s="9" t="s">
        <v>979</v>
      </c>
      <c r="D7" s="8">
        <v>83554</v>
      </c>
      <c r="E7" s="8" t="s">
        <v>980</v>
      </c>
      <c r="F7" s="14" t="s">
        <v>981</v>
      </c>
      <c r="G7" s="14" t="s">
        <v>969</v>
      </c>
    </row>
    <row r="8" ht="17" customHeight="1" spans="1:7">
      <c r="A8" s="8">
        <v>7</v>
      </c>
      <c r="B8" s="8" t="s">
        <v>982</v>
      </c>
      <c r="C8" s="9" t="s">
        <v>979</v>
      </c>
      <c r="D8" s="8">
        <v>446</v>
      </c>
      <c r="E8" s="8" t="s">
        <v>983</v>
      </c>
      <c r="F8" s="14" t="s">
        <v>981</v>
      </c>
      <c r="G8" s="14" t="s">
        <v>969</v>
      </c>
    </row>
    <row r="9" ht="17" customHeight="1" spans="1:7">
      <c r="A9" s="8">
        <v>8</v>
      </c>
      <c r="B9" s="8" t="s">
        <v>984</v>
      </c>
      <c r="C9" s="11" t="s">
        <v>985</v>
      </c>
      <c r="D9" s="8">
        <v>37727</v>
      </c>
      <c r="E9" s="8" t="s">
        <v>986</v>
      </c>
      <c r="F9" s="14" t="s">
        <v>968</v>
      </c>
      <c r="G9" s="14" t="s">
        <v>969</v>
      </c>
    </row>
    <row r="10" ht="17" customHeight="1" spans="1:7">
      <c r="A10" s="8">
        <v>9</v>
      </c>
      <c r="B10" s="8" t="s">
        <v>987</v>
      </c>
      <c r="C10" s="9" t="s">
        <v>979</v>
      </c>
      <c r="D10" s="8">
        <v>83558</v>
      </c>
      <c r="E10" s="8" t="s">
        <v>988</v>
      </c>
      <c r="F10" s="14" t="s">
        <v>981</v>
      </c>
      <c r="G10" s="14" t="s">
        <v>969</v>
      </c>
    </row>
    <row r="11" ht="17" customHeight="1" spans="1:7">
      <c r="A11" s="8">
        <v>10</v>
      </c>
      <c r="B11" s="13" t="s">
        <v>989</v>
      </c>
      <c r="C11" s="9" t="s">
        <v>990</v>
      </c>
      <c r="D11" s="8">
        <v>77643</v>
      </c>
      <c r="E11" s="8" t="s">
        <v>991</v>
      </c>
      <c r="F11" s="14" t="s">
        <v>968</v>
      </c>
      <c r="G11" s="14" t="s">
        <v>969</v>
      </c>
    </row>
    <row r="12" ht="17" customHeight="1" spans="1:7">
      <c r="A12" s="8">
        <v>11</v>
      </c>
      <c r="B12" s="8" t="s">
        <v>992</v>
      </c>
      <c r="C12" s="9" t="s">
        <v>979</v>
      </c>
      <c r="D12" s="8">
        <v>120793</v>
      </c>
      <c r="E12" s="8" t="s">
        <v>993</v>
      </c>
      <c r="F12" s="14" t="s">
        <v>981</v>
      </c>
      <c r="G12" s="14" t="s">
        <v>969</v>
      </c>
    </row>
    <row r="13" ht="17" customHeight="1" spans="1:7">
      <c r="A13" s="8">
        <v>12</v>
      </c>
      <c r="B13" s="8" t="s">
        <v>994</v>
      </c>
      <c r="C13" s="9" t="s">
        <v>979</v>
      </c>
      <c r="D13" s="14">
        <v>1768</v>
      </c>
      <c r="E13" s="8" t="s">
        <v>995</v>
      </c>
      <c r="F13" s="14" t="s">
        <v>981</v>
      </c>
      <c r="G13" s="14" t="s">
        <v>969</v>
      </c>
    </row>
    <row r="14" ht="17" customHeight="1" spans="1:7">
      <c r="A14" s="8">
        <v>13</v>
      </c>
      <c r="B14" s="8" t="s">
        <v>996</v>
      </c>
      <c r="C14" s="9" t="s">
        <v>979</v>
      </c>
      <c r="D14" s="14">
        <v>36809</v>
      </c>
      <c r="E14" s="8" t="s">
        <v>997</v>
      </c>
      <c r="F14" s="14" t="s">
        <v>981</v>
      </c>
      <c r="G14" s="14" t="s">
        <v>969</v>
      </c>
    </row>
    <row r="15" ht="17" customHeight="1" spans="1:7">
      <c r="A15" s="8">
        <v>14</v>
      </c>
      <c r="B15" s="8" t="s">
        <v>998</v>
      </c>
      <c r="C15" s="9" t="s">
        <v>979</v>
      </c>
      <c r="D15" s="8">
        <v>1352</v>
      </c>
      <c r="E15" s="8" t="s">
        <v>999</v>
      </c>
      <c r="F15" s="14" t="s">
        <v>981</v>
      </c>
      <c r="G15" s="14" t="s">
        <v>969</v>
      </c>
    </row>
    <row r="16" ht="17" customHeight="1" spans="1:7">
      <c r="A16" s="8">
        <v>15</v>
      </c>
      <c r="B16" s="8" t="s">
        <v>1000</v>
      </c>
      <c r="C16" s="9" t="s">
        <v>979</v>
      </c>
      <c r="D16" s="8">
        <v>1351</v>
      </c>
      <c r="E16" s="8" t="s">
        <v>1001</v>
      </c>
      <c r="F16" s="14" t="s">
        <v>981</v>
      </c>
      <c r="G16" s="14" t="s">
        <v>969</v>
      </c>
    </row>
    <row r="17" ht="17" customHeight="1" spans="1:7">
      <c r="A17" s="8">
        <v>16</v>
      </c>
      <c r="B17" s="13" t="s">
        <v>1002</v>
      </c>
      <c r="C17" s="9" t="s">
        <v>979</v>
      </c>
      <c r="D17" s="8">
        <v>573</v>
      </c>
      <c r="E17" s="8" t="s">
        <v>1003</v>
      </c>
      <c r="F17" s="14" t="s">
        <v>981</v>
      </c>
      <c r="G17" s="14" t="s">
        <v>969</v>
      </c>
    </row>
    <row r="18" ht="17" customHeight="1" spans="1:7">
      <c r="A18" s="8">
        <v>17</v>
      </c>
      <c r="B18" s="8" t="s">
        <v>1004</v>
      </c>
      <c r="C18" s="9" t="s">
        <v>979</v>
      </c>
      <c r="D18" s="8">
        <v>1280</v>
      </c>
      <c r="E18" s="8" t="s">
        <v>1005</v>
      </c>
      <c r="F18" s="14" t="s">
        <v>981</v>
      </c>
      <c r="G18" s="14" t="s">
        <v>969</v>
      </c>
    </row>
    <row r="19" ht="17" customHeight="1" spans="1:7">
      <c r="A19" s="8">
        <v>18</v>
      </c>
      <c r="B19" s="8" t="s">
        <v>1006</v>
      </c>
      <c r="C19" s="9" t="s">
        <v>979</v>
      </c>
      <c r="D19" s="8">
        <v>470</v>
      </c>
      <c r="E19" s="8" t="s">
        <v>1007</v>
      </c>
      <c r="F19" s="14" t="s">
        <v>981</v>
      </c>
      <c r="G19" s="14" t="s">
        <v>969</v>
      </c>
    </row>
    <row r="20" ht="17" customHeight="1" spans="1:7">
      <c r="A20" s="8">
        <v>19</v>
      </c>
      <c r="B20" s="8" t="s">
        <v>1008</v>
      </c>
      <c r="C20" s="9" t="s">
        <v>979</v>
      </c>
      <c r="D20" s="8">
        <v>287</v>
      </c>
      <c r="E20" s="8" t="s">
        <v>1009</v>
      </c>
      <c r="F20" s="14" t="s">
        <v>981</v>
      </c>
      <c r="G20" s="14" t="s">
        <v>969</v>
      </c>
    </row>
    <row r="21" ht="17" customHeight="1" spans="1:7">
      <c r="A21" s="8">
        <v>20</v>
      </c>
      <c r="B21" s="8" t="s">
        <v>1010</v>
      </c>
      <c r="C21" s="9" t="s">
        <v>979</v>
      </c>
      <c r="D21" s="8">
        <v>615</v>
      </c>
      <c r="E21" s="8" t="s">
        <v>1011</v>
      </c>
      <c r="F21" s="14" t="s">
        <v>981</v>
      </c>
      <c r="G21" s="14" t="s">
        <v>969</v>
      </c>
    </row>
    <row r="22" ht="17" customHeight="1" spans="1:7">
      <c r="A22" s="8">
        <v>21</v>
      </c>
      <c r="B22" s="8" t="s">
        <v>1012</v>
      </c>
      <c r="C22" s="9" t="s">
        <v>979</v>
      </c>
      <c r="D22" s="8">
        <v>1313</v>
      </c>
      <c r="E22" s="8" t="s">
        <v>1013</v>
      </c>
      <c r="F22" s="14" t="s">
        <v>981</v>
      </c>
      <c r="G22" s="14" t="s">
        <v>969</v>
      </c>
    </row>
    <row r="23" ht="17" customHeight="1" spans="1:7">
      <c r="A23" s="8">
        <v>22</v>
      </c>
      <c r="B23" s="8" t="s">
        <v>1014</v>
      </c>
      <c r="C23" s="9" t="s">
        <v>979</v>
      </c>
      <c r="D23" s="8">
        <v>548</v>
      </c>
      <c r="E23" s="8" t="s">
        <v>1015</v>
      </c>
      <c r="F23" s="14" t="s">
        <v>981</v>
      </c>
      <c r="G23" s="14" t="s">
        <v>969</v>
      </c>
    </row>
    <row r="24" ht="17" customHeight="1" spans="1:7">
      <c r="A24" s="8">
        <v>23</v>
      </c>
      <c r="B24" s="8" t="s">
        <v>1016</v>
      </c>
      <c r="C24" s="9" t="s">
        <v>979</v>
      </c>
      <c r="D24" s="8">
        <v>43770</v>
      </c>
      <c r="E24" s="8" t="s">
        <v>1017</v>
      </c>
      <c r="F24" s="14" t="s">
        <v>981</v>
      </c>
      <c r="G24" s="14" t="s">
        <v>969</v>
      </c>
    </row>
    <row r="25" ht="17" customHeight="1" spans="1:7">
      <c r="A25" s="8">
        <v>24</v>
      </c>
      <c r="B25" s="8" t="s">
        <v>1018</v>
      </c>
      <c r="C25" s="9" t="s">
        <v>979</v>
      </c>
      <c r="D25" s="8">
        <v>584</v>
      </c>
      <c r="E25" s="8" t="s">
        <v>1019</v>
      </c>
      <c r="F25" s="14" t="s">
        <v>981</v>
      </c>
      <c r="G25" s="14" t="s">
        <v>969</v>
      </c>
    </row>
    <row r="26" ht="17" customHeight="1" spans="1:7">
      <c r="A26" s="8">
        <v>25</v>
      </c>
      <c r="B26" s="8" t="s">
        <v>1020</v>
      </c>
      <c r="C26" s="9" t="s">
        <v>979</v>
      </c>
      <c r="D26" s="8">
        <v>727</v>
      </c>
      <c r="E26" s="8" t="s">
        <v>1021</v>
      </c>
      <c r="F26" s="14" t="s">
        <v>981</v>
      </c>
      <c r="G26" s="14" t="s">
        <v>969</v>
      </c>
    </row>
    <row r="27" ht="17" customHeight="1" spans="1:7">
      <c r="A27" s="8">
        <v>26</v>
      </c>
      <c r="B27" s="8" t="s">
        <v>1022</v>
      </c>
      <c r="C27" s="9" t="s">
        <v>979</v>
      </c>
      <c r="D27" s="8">
        <v>550</v>
      </c>
      <c r="E27" s="8" t="s">
        <v>1023</v>
      </c>
      <c r="F27" s="14" t="s">
        <v>981</v>
      </c>
      <c r="G27" s="14" t="s">
        <v>969</v>
      </c>
    </row>
    <row r="28" ht="17" customHeight="1" spans="1:7">
      <c r="A28" s="8">
        <v>27</v>
      </c>
      <c r="B28" s="8" t="s">
        <v>1024</v>
      </c>
      <c r="C28" s="9" t="s">
        <v>979</v>
      </c>
      <c r="D28" s="8">
        <v>562</v>
      </c>
      <c r="E28" s="8" t="s">
        <v>1025</v>
      </c>
      <c r="F28" s="14" t="s">
        <v>981</v>
      </c>
      <c r="G28" s="14" t="s">
        <v>969</v>
      </c>
    </row>
    <row r="29" ht="17" customHeight="1" spans="1:7">
      <c r="A29" s="8">
        <v>28</v>
      </c>
      <c r="B29" s="8" t="s">
        <v>1026</v>
      </c>
      <c r="C29" s="9" t="s">
        <v>979</v>
      </c>
      <c r="D29" s="8">
        <v>40324</v>
      </c>
      <c r="E29" s="8" t="s">
        <v>1027</v>
      </c>
      <c r="F29" s="14" t="s">
        <v>981</v>
      </c>
      <c r="G29" s="14" t="s">
        <v>969</v>
      </c>
    </row>
    <row r="30" ht="17" customHeight="1" spans="1:7">
      <c r="A30" s="8">
        <v>29</v>
      </c>
      <c r="B30" s="13" t="s">
        <v>1028</v>
      </c>
      <c r="C30" s="9" t="s">
        <v>979</v>
      </c>
      <c r="D30" s="8">
        <v>87882</v>
      </c>
      <c r="E30" s="8" t="s">
        <v>1029</v>
      </c>
      <c r="F30" s="14" t="s">
        <v>981</v>
      </c>
      <c r="G30" s="14" t="s">
        <v>969</v>
      </c>
    </row>
    <row r="31" ht="17" customHeight="1" spans="1:7">
      <c r="A31" s="8">
        <v>30</v>
      </c>
      <c r="B31" s="9" t="s">
        <v>1030</v>
      </c>
      <c r="C31" s="9" t="s">
        <v>979</v>
      </c>
      <c r="D31" s="12">
        <v>480</v>
      </c>
      <c r="E31" s="9" t="s">
        <v>1031</v>
      </c>
      <c r="F31" s="14" t="s">
        <v>981</v>
      </c>
      <c r="G31" s="14" t="s">
        <v>969</v>
      </c>
    </row>
    <row r="32" ht="17" customHeight="1" spans="1:7">
      <c r="A32" s="8">
        <v>31</v>
      </c>
      <c r="B32" s="9" t="s">
        <v>1032</v>
      </c>
      <c r="C32" s="9" t="s">
        <v>979</v>
      </c>
      <c r="D32" s="9">
        <v>1817</v>
      </c>
      <c r="E32" s="9" t="s">
        <v>1033</v>
      </c>
      <c r="F32" s="14" t="s">
        <v>981</v>
      </c>
      <c r="G32" s="14" t="s">
        <v>969</v>
      </c>
    </row>
    <row r="33" ht="17" customHeight="1" spans="1:7">
      <c r="A33" s="8">
        <v>32</v>
      </c>
      <c r="B33" s="9" t="s">
        <v>1034</v>
      </c>
      <c r="C33" s="9" t="s">
        <v>979</v>
      </c>
      <c r="D33" s="12">
        <v>120957</v>
      </c>
      <c r="E33" s="9" t="s">
        <v>1035</v>
      </c>
      <c r="F33" s="14" t="s">
        <v>981</v>
      </c>
      <c r="G33" s="22" t="s">
        <v>1036</v>
      </c>
    </row>
    <row r="34" ht="17" customHeight="1" spans="1:7">
      <c r="A34" s="8">
        <v>33</v>
      </c>
      <c r="B34" s="15" t="s">
        <v>1037</v>
      </c>
      <c r="C34" s="9" t="s">
        <v>979</v>
      </c>
      <c r="D34" s="12">
        <v>480035</v>
      </c>
      <c r="E34" s="9" t="s">
        <v>1038</v>
      </c>
      <c r="F34" s="14" t="s">
        <v>981</v>
      </c>
      <c r="G34" s="22" t="s">
        <v>1036</v>
      </c>
    </row>
    <row r="35" ht="17" customHeight="1" spans="1:7">
      <c r="A35" s="8">
        <v>34</v>
      </c>
      <c r="B35" s="8" t="s">
        <v>1039</v>
      </c>
      <c r="C35" s="9" t="s">
        <v>979</v>
      </c>
      <c r="D35" s="8">
        <v>37329</v>
      </c>
      <c r="E35" s="8" t="s">
        <v>1040</v>
      </c>
      <c r="F35" s="14" t="s">
        <v>981</v>
      </c>
      <c r="G35" s="22" t="s">
        <v>1036</v>
      </c>
    </row>
    <row r="36" ht="17" customHeight="1" spans="1:7">
      <c r="A36" s="8">
        <v>35</v>
      </c>
      <c r="B36" s="8" t="s">
        <v>1041</v>
      </c>
      <c r="C36" s="9" t="s">
        <v>979</v>
      </c>
      <c r="D36" s="8">
        <v>1823</v>
      </c>
      <c r="E36" s="8" t="s">
        <v>1042</v>
      </c>
      <c r="F36" s="14" t="s">
        <v>981</v>
      </c>
      <c r="G36" s="22" t="s">
        <v>1036</v>
      </c>
    </row>
    <row r="37" ht="17" customHeight="1" spans="1:7">
      <c r="A37" s="8">
        <v>36</v>
      </c>
      <c r="B37" s="9" t="s">
        <v>1043</v>
      </c>
      <c r="C37" s="9" t="s">
        <v>979</v>
      </c>
      <c r="D37" s="12">
        <v>2039</v>
      </c>
      <c r="E37" s="9" t="s">
        <v>1044</v>
      </c>
      <c r="F37" s="14" t="s">
        <v>981</v>
      </c>
      <c r="G37" s="14" t="s">
        <v>969</v>
      </c>
    </row>
    <row r="38" ht="17" customHeight="1" spans="1:7">
      <c r="A38" s="8">
        <v>37</v>
      </c>
      <c r="B38" s="9" t="s">
        <v>1045</v>
      </c>
      <c r="C38" s="9" t="s">
        <v>979</v>
      </c>
      <c r="D38" s="9">
        <v>238</v>
      </c>
      <c r="E38" s="9" t="s">
        <v>1046</v>
      </c>
      <c r="F38" s="14" t="s">
        <v>981</v>
      </c>
      <c r="G38" s="14" t="s">
        <v>969</v>
      </c>
    </row>
    <row r="39" ht="17" customHeight="1" spans="1:7">
      <c r="A39" s="8">
        <v>38</v>
      </c>
      <c r="B39" s="9" t="s">
        <v>1047</v>
      </c>
      <c r="C39" s="9" t="s">
        <v>979</v>
      </c>
      <c r="D39" s="12">
        <v>2104</v>
      </c>
      <c r="E39" s="9" t="s">
        <v>1048</v>
      </c>
      <c r="F39" s="14" t="s">
        <v>981</v>
      </c>
      <c r="G39" s="14" t="s">
        <v>969</v>
      </c>
    </row>
    <row r="40" ht="17" customHeight="1" spans="1:7">
      <c r="A40" s="8">
        <v>39</v>
      </c>
      <c r="B40" s="8" t="s">
        <v>1049</v>
      </c>
      <c r="C40" s="9" t="s">
        <v>1050</v>
      </c>
      <c r="D40" s="8">
        <v>5207</v>
      </c>
      <c r="E40" s="8" t="s">
        <v>1051</v>
      </c>
      <c r="F40" s="14" t="s">
        <v>968</v>
      </c>
      <c r="G40" s="14" t="s">
        <v>969</v>
      </c>
    </row>
    <row r="41" ht="17" customHeight="1" spans="1:7">
      <c r="A41" s="8">
        <v>40</v>
      </c>
      <c r="B41" s="8" t="s">
        <v>1052</v>
      </c>
      <c r="C41" s="9" t="s">
        <v>1050</v>
      </c>
      <c r="D41" s="8">
        <v>746128</v>
      </c>
      <c r="E41" s="8" t="s">
        <v>1053</v>
      </c>
      <c r="F41" s="14" t="s">
        <v>968</v>
      </c>
      <c r="G41" s="14" t="s">
        <v>969</v>
      </c>
    </row>
    <row r="42" ht="17" customHeight="1" spans="1:7">
      <c r="A42" s="8">
        <v>41</v>
      </c>
      <c r="B42" s="8" t="s">
        <v>1054</v>
      </c>
      <c r="C42" s="9" t="s">
        <v>1050</v>
      </c>
      <c r="D42" s="8">
        <v>4840</v>
      </c>
      <c r="E42" s="8" t="s">
        <v>1055</v>
      </c>
      <c r="F42" s="14" t="s">
        <v>968</v>
      </c>
      <c r="G42" s="14" t="s">
        <v>969</v>
      </c>
    </row>
    <row r="43" ht="17" customHeight="1" spans="1:7">
      <c r="A43" s="8">
        <v>42</v>
      </c>
      <c r="B43" s="8" t="s">
        <v>1056</v>
      </c>
      <c r="C43" s="9" t="s">
        <v>1050</v>
      </c>
      <c r="D43" s="8">
        <v>42068</v>
      </c>
      <c r="E43" s="8" t="s">
        <v>1057</v>
      </c>
      <c r="F43" s="14" t="s">
        <v>968</v>
      </c>
      <c r="G43" s="14" t="s">
        <v>969</v>
      </c>
    </row>
    <row r="44" ht="17" customHeight="1" spans="1:7">
      <c r="A44" s="8">
        <v>43</v>
      </c>
      <c r="B44" s="11" t="s">
        <v>1058</v>
      </c>
      <c r="C44" s="9" t="s">
        <v>1050</v>
      </c>
      <c r="D44" s="12">
        <v>5482</v>
      </c>
      <c r="E44" s="9" t="s">
        <v>1059</v>
      </c>
      <c r="F44" s="14" t="s">
        <v>968</v>
      </c>
      <c r="G44" s="22" t="s">
        <v>969</v>
      </c>
    </row>
    <row r="45" ht="17" customHeight="1" spans="1:7">
      <c r="A45" s="8">
        <v>44</v>
      </c>
      <c r="B45" s="8" t="s">
        <v>1060</v>
      </c>
      <c r="C45" s="9" t="s">
        <v>1050</v>
      </c>
      <c r="D45" s="8">
        <v>16711682</v>
      </c>
      <c r="E45" s="8" t="s">
        <v>1061</v>
      </c>
      <c r="F45" s="14" t="s">
        <v>968</v>
      </c>
      <c r="G45" s="14" t="s">
        <v>969</v>
      </c>
    </row>
    <row r="46" ht="17" customHeight="1" spans="1:7">
      <c r="A46" s="8">
        <v>45</v>
      </c>
      <c r="B46" s="9" t="s">
        <v>1062</v>
      </c>
      <c r="C46" s="9" t="s">
        <v>1050</v>
      </c>
      <c r="D46" s="12">
        <v>5061</v>
      </c>
      <c r="E46" s="9" t="s">
        <v>1063</v>
      </c>
      <c r="F46" s="14" t="s">
        <v>968</v>
      </c>
      <c r="G46" s="14" t="s">
        <v>969</v>
      </c>
    </row>
    <row r="47" ht="17" customHeight="1" spans="1:7">
      <c r="A47" s="8">
        <v>46</v>
      </c>
      <c r="B47" s="9" t="s">
        <v>1064</v>
      </c>
      <c r="C47" s="9" t="s">
        <v>1050</v>
      </c>
      <c r="D47" s="12">
        <v>33178</v>
      </c>
      <c r="E47" s="9" t="s">
        <v>1065</v>
      </c>
      <c r="F47" s="14" t="s">
        <v>968</v>
      </c>
      <c r="G47" s="14" t="s">
        <v>969</v>
      </c>
    </row>
    <row r="48" ht="17" customHeight="1" spans="1:7">
      <c r="A48" s="8">
        <v>47</v>
      </c>
      <c r="B48" s="9" t="s">
        <v>1066</v>
      </c>
      <c r="C48" s="9" t="s">
        <v>1050</v>
      </c>
      <c r="D48" s="12">
        <v>293939</v>
      </c>
      <c r="E48" s="9" t="s">
        <v>1067</v>
      </c>
      <c r="F48" s="14" t="s">
        <v>968</v>
      </c>
      <c r="G48" s="14" t="s">
        <v>969</v>
      </c>
    </row>
    <row r="49" ht="17" customHeight="1" spans="1:7">
      <c r="A49" s="8">
        <v>48</v>
      </c>
      <c r="B49" s="9" t="s">
        <v>1068</v>
      </c>
      <c r="C49" s="9" t="s">
        <v>1050</v>
      </c>
      <c r="D49" s="12">
        <v>162425</v>
      </c>
      <c r="E49" s="10" t="s">
        <v>1069</v>
      </c>
      <c r="F49" s="14" t="s">
        <v>968</v>
      </c>
      <c r="G49" s="14" t="s">
        <v>969</v>
      </c>
    </row>
    <row r="50" ht="17" customHeight="1" spans="1:7">
      <c r="A50" s="8">
        <v>49</v>
      </c>
      <c r="B50" s="9" t="s">
        <v>1070</v>
      </c>
      <c r="C50" s="9" t="s">
        <v>1050</v>
      </c>
      <c r="D50" s="9">
        <v>4842</v>
      </c>
      <c r="E50" s="9" t="s">
        <v>1071</v>
      </c>
      <c r="F50" s="14" t="s">
        <v>968</v>
      </c>
      <c r="G50" s="14" t="s">
        <v>969</v>
      </c>
    </row>
    <row r="51" ht="17" customHeight="1" spans="1:7">
      <c r="A51" s="8">
        <v>50</v>
      </c>
      <c r="B51" s="16" t="s">
        <v>1072</v>
      </c>
      <c r="C51" s="9" t="s">
        <v>1050</v>
      </c>
      <c r="D51" s="12">
        <v>64495</v>
      </c>
      <c r="E51" s="9" t="s">
        <v>1073</v>
      </c>
      <c r="F51" s="14" t="s">
        <v>968</v>
      </c>
      <c r="G51" s="22" t="s">
        <v>1036</v>
      </c>
    </row>
    <row r="52" ht="17" customHeight="1" spans="1:7">
      <c r="A52" s="8">
        <v>51</v>
      </c>
      <c r="B52" s="8" t="s">
        <v>1074</v>
      </c>
      <c r="C52" s="9" t="s">
        <v>1050</v>
      </c>
      <c r="D52" s="8">
        <v>58291</v>
      </c>
      <c r="E52" s="8" t="s">
        <v>1075</v>
      </c>
      <c r="F52" s="14" t="s">
        <v>968</v>
      </c>
      <c r="G52" s="22" t="s">
        <v>1036</v>
      </c>
    </row>
    <row r="53" ht="17" customHeight="1" spans="1:7">
      <c r="A53" s="8">
        <v>52</v>
      </c>
      <c r="B53" s="9" t="s">
        <v>1076</v>
      </c>
      <c r="C53" s="9" t="s">
        <v>1050</v>
      </c>
      <c r="D53" s="12">
        <v>563466</v>
      </c>
      <c r="E53" s="9" t="s">
        <v>1077</v>
      </c>
      <c r="F53" s="14" t="s">
        <v>968</v>
      </c>
      <c r="G53" s="14" t="s">
        <v>969</v>
      </c>
    </row>
    <row r="54" ht="17" customHeight="1" spans="1:7">
      <c r="A54" s="8">
        <v>53</v>
      </c>
      <c r="B54" s="17" t="s">
        <v>1078</v>
      </c>
      <c r="C54" s="9" t="s">
        <v>966</v>
      </c>
      <c r="D54" s="12">
        <v>108098</v>
      </c>
      <c r="E54" s="8" t="s">
        <v>1079</v>
      </c>
      <c r="F54" s="14" t="s">
        <v>968</v>
      </c>
      <c r="G54" s="22" t="s">
        <v>1036</v>
      </c>
    </row>
    <row r="55" ht="17" customHeight="1" spans="1:7">
      <c r="A55" s="8">
        <v>54</v>
      </c>
      <c r="B55" s="17" t="s">
        <v>1080</v>
      </c>
      <c r="C55" s="9" t="s">
        <v>966</v>
      </c>
      <c r="D55" s="12">
        <v>129951</v>
      </c>
      <c r="E55" s="8" t="s">
        <v>1081</v>
      </c>
      <c r="F55" s="14" t="s">
        <v>968</v>
      </c>
      <c r="G55" s="22" t="s">
        <v>1036</v>
      </c>
    </row>
    <row r="56" ht="17" customHeight="1" spans="1:7">
      <c r="A56" s="8">
        <v>55</v>
      </c>
      <c r="B56" s="17" t="s">
        <v>1082</v>
      </c>
      <c r="C56" s="9" t="s">
        <v>966</v>
      </c>
      <c r="D56" s="12">
        <v>130308</v>
      </c>
      <c r="E56" s="8" t="s">
        <v>1083</v>
      </c>
      <c r="F56" s="14" t="s">
        <v>968</v>
      </c>
      <c r="G56" s="22" t="s">
        <v>1036</v>
      </c>
    </row>
    <row r="57" ht="17" customHeight="1" spans="1:7">
      <c r="A57" s="8">
        <v>56</v>
      </c>
      <c r="B57" s="18" t="s">
        <v>1084</v>
      </c>
      <c r="C57" s="1" t="s">
        <v>1085</v>
      </c>
      <c r="D57" s="1">
        <v>178876</v>
      </c>
      <c r="E57" s="8" t="s">
        <v>1086</v>
      </c>
      <c r="F57" s="14" t="s">
        <v>968</v>
      </c>
      <c r="G57" s="22" t="s">
        <v>1036</v>
      </c>
    </row>
    <row r="58" ht="17" customHeight="1" spans="1:7">
      <c r="A58" s="8">
        <v>57</v>
      </c>
      <c r="B58" t="s">
        <v>1087</v>
      </c>
      <c r="C58" s="1" t="s">
        <v>1085</v>
      </c>
      <c r="D58" s="1">
        <v>40410</v>
      </c>
      <c r="E58" s="8" t="s">
        <v>1088</v>
      </c>
      <c r="F58" s="14" t="s">
        <v>968</v>
      </c>
      <c r="G58" s="22" t="s">
        <v>1036</v>
      </c>
    </row>
    <row r="59" ht="17" customHeight="1" spans="1:7">
      <c r="A59" s="19">
        <v>58</v>
      </c>
      <c r="B59" s="20" t="s">
        <v>1089</v>
      </c>
      <c r="C59" s="20" t="s">
        <v>1090</v>
      </c>
      <c r="D59" s="20">
        <v>28037</v>
      </c>
      <c r="E59" s="19" t="s">
        <v>1091</v>
      </c>
      <c r="F59" s="23" t="s">
        <v>981</v>
      </c>
      <c r="G59" s="24" t="s">
        <v>1092</v>
      </c>
    </row>
    <row r="60" ht="17" customHeight="1" spans="1:7">
      <c r="A60" s="19">
        <v>59</v>
      </c>
      <c r="B60" s="20" t="s">
        <v>1093</v>
      </c>
      <c r="C60" s="20" t="s">
        <v>1090</v>
      </c>
      <c r="D60" s="20">
        <v>571</v>
      </c>
      <c r="E60" s="19" t="s">
        <v>1094</v>
      </c>
      <c r="F60" s="23" t="s">
        <v>981</v>
      </c>
      <c r="G60" s="24" t="s">
        <v>1092</v>
      </c>
    </row>
    <row r="61" ht="17" customHeight="1" spans="1:7">
      <c r="A61" s="19">
        <v>60</v>
      </c>
      <c r="B61" s="20" t="s">
        <v>1095</v>
      </c>
      <c r="C61" s="20" t="s">
        <v>1090</v>
      </c>
      <c r="D61" s="20">
        <v>1766</v>
      </c>
      <c r="E61" s="19" t="s">
        <v>1096</v>
      </c>
      <c r="F61" s="23" t="s">
        <v>981</v>
      </c>
      <c r="G61" s="24" t="s">
        <v>1092</v>
      </c>
    </row>
    <row r="62" ht="17" customHeight="1" spans="1:7">
      <c r="A62" s="19">
        <v>61</v>
      </c>
      <c r="B62" s="20" t="s">
        <v>1097</v>
      </c>
      <c r="C62" s="20" t="s">
        <v>985</v>
      </c>
      <c r="D62" s="20">
        <v>4909</v>
      </c>
      <c r="E62" s="19" t="s">
        <v>1098</v>
      </c>
      <c r="F62" s="23" t="s">
        <v>968</v>
      </c>
      <c r="G62" s="24" t="s">
        <v>1092</v>
      </c>
    </row>
    <row r="63" ht="17" customHeight="1" spans="1:7">
      <c r="A63" s="19">
        <v>62</v>
      </c>
      <c r="B63" s="20" t="s">
        <v>1099</v>
      </c>
      <c r="C63" s="20" t="s">
        <v>1090</v>
      </c>
      <c r="D63" s="20">
        <v>487</v>
      </c>
      <c r="E63" s="19" t="s">
        <v>1100</v>
      </c>
      <c r="F63" s="23" t="s">
        <v>981</v>
      </c>
      <c r="G63" s="24" t="s">
        <v>1092</v>
      </c>
    </row>
    <row r="64" ht="17" customHeight="1" spans="1:7">
      <c r="A64" s="19">
        <v>63</v>
      </c>
      <c r="B64" s="20" t="s">
        <v>1101</v>
      </c>
      <c r="C64" s="20" t="s">
        <v>1090</v>
      </c>
      <c r="D64" s="20">
        <v>1314</v>
      </c>
      <c r="E64" s="19" t="s">
        <v>1102</v>
      </c>
      <c r="F64" s="23" t="s">
        <v>981</v>
      </c>
      <c r="G64" s="24" t="s">
        <v>1092</v>
      </c>
    </row>
    <row r="65" ht="17" customHeight="1" spans="1:7">
      <c r="A65" s="19">
        <v>64</v>
      </c>
      <c r="B65" s="20" t="s">
        <v>1103</v>
      </c>
      <c r="C65" s="20" t="s">
        <v>1090</v>
      </c>
      <c r="D65" s="20">
        <v>729</v>
      </c>
      <c r="E65" s="19" t="s">
        <v>1104</v>
      </c>
      <c r="F65" s="23" t="s">
        <v>981</v>
      </c>
      <c r="G65" s="24" t="s">
        <v>1092</v>
      </c>
    </row>
    <row r="66" ht="17" customHeight="1" spans="1:7">
      <c r="A66" s="19">
        <v>65</v>
      </c>
      <c r="B66" s="20" t="s">
        <v>1105</v>
      </c>
      <c r="C66" s="20" t="s">
        <v>985</v>
      </c>
      <c r="D66" s="20">
        <v>5480</v>
      </c>
      <c r="E66" s="19" t="s">
        <v>1106</v>
      </c>
      <c r="F66" s="23" t="s">
        <v>968</v>
      </c>
      <c r="G66" s="24" t="s">
        <v>1092</v>
      </c>
    </row>
    <row r="67" ht="17" customHeight="1" spans="1:7">
      <c r="A67" s="19">
        <v>66</v>
      </c>
      <c r="B67" s="20" t="s">
        <v>1107</v>
      </c>
      <c r="C67" s="20" t="s">
        <v>1090</v>
      </c>
      <c r="D67" s="20">
        <v>40215</v>
      </c>
      <c r="E67" s="19" t="s">
        <v>1108</v>
      </c>
      <c r="F67" s="23" t="s">
        <v>981</v>
      </c>
      <c r="G67" s="24" t="s">
        <v>1092</v>
      </c>
    </row>
    <row r="68" ht="17" customHeight="1" spans="1:7">
      <c r="A68" s="19">
        <v>67</v>
      </c>
      <c r="B68" s="20" t="s">
        <v>1109</v>
      </c>
      <c r="C68" s="20" t="s">
        <v>1090</v>
      </c>
      <c r="D68" s="20">
        <v>1282</v>
      </c>
      <c r="E68" s="19" t="s">
        <v>1110</v>
      </c>
      <c r="F68" s="23" t="s">
        <v>981</v>
      </c>
      <c r="G68" s="24" t="s">
        <v>1092</v>
      </c>
    </row>
    <row r="69" ht="17" customHeight="1" spans="1:7">
      <c r="A69" s="19">
        <v>68</v>
      </c>
      <c r="B69" s="20" t="s">
        <v>1111</v>
      </c>
      <c r="C69" s="20" t="s">
        <v>1090</v>
      </c>
      <c r="D69" s="20">
        <v>1311</v>
      </c>
      <c r="E69" s="19" t="s">
        <v>1112</v>
      </c>
      <c r="F69" s="23" t="s">
        <v>981</v>
      </c>
      <c r="G69" s="24" t="s">
        <v>1092</v>
      </c>
    </row>
    <row r="70" ht="17" customHeight="1" spans="1:7">
      <c r="A70" s="19">
        <v>69</v>
      </c>
      <c r="B70" s="20" t="s">
        <v>1113</v>
      </c>
      <c r="C70" s="20" t="s">
        <v>985</v>
      </c>
      <c r="D70" s="20">
        <v>5476</v>
      </c>
      <c r="E70" s="19" t="s">
        <v>1114</v>
      </c>
      <c r="F70" s="23" t="s">
        <v>968</v>
      </c>
      <c r="G70" s="24" t="s">
        <v>1092</v>
      </c>
    </row>
  </sheetData>
  <conditionalFormatting sqref="B44 B33 B52">
    <cfRule type="duplicateValues" dxfId="1" priority="1"/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1" sqref="C11"/>
    </sheetView>
  </sheetViews>
  <sheetFormatPr defaultColWidth="9.23076923076923" defaultRowHeight="16.8" outlineLevelCol="4"/>
  <cols>
    <col min="1" max="1" width="5.69230769230769" customWidth="1"/>
    <col min="2" max="2" width="12.4615384615385" customWidth="1"/>
    <col min="3" max="3" width="20.5384615384615" customWidth="1"/>
    <col min="4" max="4" width="18.5384615384615" customWidth="1"/>
    <col min="5" max="5" width="14.1538461538462" customWidth="1"/>
  </cols>
  <sheetData>
    <row r="1" ht="17" spans="1:5">
      <c r="A1" s="1" t="s">
        <v>1115</v>
      </c>
      <c r="B1" s="1" t="s">
        <v>1116</v>
      </c>
      <c r="C1" s="2" t="s">
        <v>1117</v>
      </c>
      <c r="D1" s="1" t="s">
        <v>1118</v>
      </c>
      <c r="E1" s="5" t="s">
        <v>1119</v>
      </c>
    </row>
    <row r="2" ht="17" spans="1:5">
      <c r="A2" s="1">
        <v>1</v>
      </c>
      <c r="B2" s="1" t="s">
        <v>1120</v>
      </c>
      <c r="C2" s="3" t="s">
        <v>87</v>
      </c>
      <c r="D2" s="4" t="s">
        <v>35</v>
      </c>
      <c r="E2" s="1" t="s">
        <v>85</v>
      </c>
    </row>
    <row r="3" ht="17" spans="1:5">
      <c r="A3" s="1">
        <v>2</v>
      </c>
      <c r="B3" s="1" t="s">
        <v>1120</v>
      </c>
      <c r="C3" s="3" t="s">
        <v>90</v>
      </c>
      <c r="D3" s="4" t="s">
        <v>35</v>
      </c>
      <c r="E3" s="1" t="s">
        <v>88</v>
      </c>
    </row>
    <row r="4" ht="17" spans="1:5">
      <c r="A4" s="1">
        <v>3</v>
      </c>
      <c r="B4" s="1" t="s">
        <v>1120</v>
      </c>
      <c r="C4" s="4" t="s">
        <v>34</v>
      </c>
      <c r="D4" s="4" t="s">
        <v>35</v>
      </c>
      <c r="E4" s="1" t="s">
        <v>31</v>
      </c>
    </row>
    <row r="5" ht="17" spans="1:5">
      <c r="A5" s="1">
        <v>4</v>
      </c>
      <c r="B5" s="1" t="s">
        <v>1120</v>
      </c>
      <c r="C5" s="4" t="s">
        <v>100</v>
      </c>
      <c r="D5" s="4" t="s">
        <v>35</v>
      </c>
      <c r="E5" s="1" t="s">
        <v>98</v>
      </c>
    </row>
    <row r="6" ht="17" spans="1:5">
      <c r="A6" s="1">
        <v>5</v>
      </c>
      <c r="B6" s="1" t="s">
        <v>1120</v>
      </c>
      <c r="C6" s="4" t="s">
        <v>103</v>
      </c>
      <c r="D6" s="4" t="s">
        <v>35</v>
      </c>
      <c r="E6" s="1" t="s">
        <v>101</v>
      </c>
    </row>
    <row r="7" ht="17" spans="1:5">
      <c r="A7" s="1">
        <v>6</v>
      </c>
      <c r="B7" s="1" t="s">
        <v>1120</v>
      </c>
      <c r="C7" s="4" t="s">
        <v>106</v>
      </c>
      <c r="D7" s="4" t="s">
        <v>35</v>
      </c>
      <c r="E7" s="1" t="s">
        <v>104</v>
      </c>
    </row>
    <row r="8" ht="17" spans="1:5">
      <c r="A8" s="1">
        <v>7</v>
      </c>
      <c r="B8" s="1" t="s">
        <v>1120</v>
      </c>
      <c r="C8" s="4" t="s">
        <v>1121</v>
      </c>
      <c r="D8" s="4" t="s">
        <v>35</v>
      </c>
      <c r="E8" s="1" t="s">
        <v>1122</v>
      </c>
    </row>
    <row r="9" ht="17" spans="1:5">
      <c r="A9" s="1">
        <v>8</v>
      </c>
      <c r="B9" s="1" t="s">
        <v>1120</v>
      </c>
      <c r="C9" s="4" t="s">
        <v>94</v>
      </c>
      <c r="D9" s="4" t="s">
        <v>39</v>
      </c>
      <c r="E9" s="1" t="s">
        <v>1123</v>
      </c>
    </row>
    <row r="10" ht="17" spans="1:5">
      <c r="A10" s="1">
        <v>9</v>
      </c>
      <c r="B10" s="1" t="s">
        <v>1120</v>
      </c>
      <c r="C10" s="4" t="s">
        <v>97</v>
      </c>
      <c r="D10" s="4" t="s">
        <v>39</v>
      </c>
      <c r="E10" s="1" t="s">
        <v>1124</v>
      </c>
    </row>
    <row r="11" ht="17" spans="1:5">
      <c r="A11" s="1">
        <v>10</v>
      </c>
      <c r="B11" s="1" t="s">
        <v>1120</v>
      </c>
      <c r="C11" s="4" t="s">
        <v>38</v>
      </c>
      <c r="D11" s="4" t="s">
        <v>39</v>
      </c>
      <c r="E11" s="1" t="s">
        <v>1125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实验排布+精密度 (2)</vt:lpstr>
      <vt:lpstr>芯片表模版</vt:lpstr>
      <vt:lpstr>文库表模版</vt:lpstr>
      <vt:lpstr>PC列表</vt:lpstr>
      <vt:lpstr>NC列表</vt:lpstr>
      <vt:lpstr>规则</vt:lpstr>
      <vt:lpstr>物种列表</vt:lpstr>
      <vt:lpstr>测序仪对应关系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韩序</cp:lastModifiedBy>
  <dcterms:created xsi:type="dcterms:W3CDTF">2026-01-16T16:18:00Z</dcterms:created>
  <dcterms:modified xsi:type="dcterms:W3CDTF">2026-01-16T19:15:38Z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A3B7CB839BE8D482DA1D6A6912A1C53C_43</vt:lpwstr>
  </property>
  <property fmtid="{D5CDD505-2E9C-101B-9397-08002B2CF9AE}" pid="3" name="KSOProductBuildVer">
    <vt:lpwstr>2052-7.4.1.8983</vt:lpwstr>
  </property>
  <property fmtid="{D5CDD505-2E9C-101B-9397-08002B2CF9AE}" pid="4" name="CalculationRule">
    <vt:i4>1</vt:i4>
  </property>
</Properties>
</file>